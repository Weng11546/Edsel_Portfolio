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 sheetId="1" r:id="rId4"/>
    <sheet state="visible" name="Data_Dictionary" sheetId="2" r:id="rId5"/>
    <sheet state="visible" name="Tasks" sheetId="3" r:id="rId6"/>
    <sheet state="visible" name="Tasks(Answer)" sheetId="4" r:id="rId7"/>
    <sheet state="visible" name="Analysis" sheetId="5" r:id="rId8"/>
    <sheet state="visible" name="PivotTable" sheetId="6" r:id="rId9"/>
    <sheet state="visible" name="Charts" sheetId="7" r:id="rId10"/>
  </sheets>
  <definedNames>
    <definedName hidden="1" localSheetId="0" name="_xlnm._FilterDatabase">Raw_Data!$A$1:$J$51</definedName>
  </definedNames>
  <calcPr/>
  <extLst>
    <ext uri="GoogleSheetsCustomDataVersion2">
      <go:sheetsCustomData xmlns:go="http://customooxmlschemas.google.com/" r:id="rId11" roundtripDataChecksum="XORyfyr4F0geMJMkjJAlhUl1S0/+PPjRV+j6WQzjXD0="/>
    </ext>
  </extLst>
</workbook>
</file>

<file path=xl/sharedStrings.xml><?xml version="1.0" encoding="utf-8"?>
<sst xmlns="http://schemas.openxmlformats.org/spreadsheetml/2006/main" count="550" uniqueCount="205">
  <si>
    <t>ANALYSIS TASKS / REQUIREMENTS</t>
  </si>
  <si>
    <t>Ticket_ID</t>
  </si>
  <si>
    <t>DATA DICTIONARY — IT Help Desk Ticket Data (Raw_Data)</t>
  </si>
  <si>
    <t>question</t>
  </si>
  <si>
    <t>Day</t>
  </si>
  <si>
    <t>Department</t>
  </si>
  <si>
    <t>Issue_Type</t>
  </si>
  <si>
    <t>Priority</t>
  </si>
  <si>
    <t>Response_Minutes</t>
  </si>
  <si>
    <t>Resolution_Hours</t>
  </si>
  <si>
    <t>Resolved_First_Contact</t>
  </si>
  <si>
    <t>Technician</t>
  </si>
  <si>
    <t>Satisfaction</t>
  </si>
  <si>
    <t>Reconstructed from the completed analysis (Sheet1/Analysis) — replace with the original task wording if different.</t>
  </si>
  <si>
    <t>Answer</t>
  </si>
  <si>
    <t>question 1.</t>
  </si>
  <si>
    <t>TK4000</t>
  </si>
  <si>
    <t>Variable</t>
  </si>
  <si>
    <t>no missing value and possible invalid values</t>
  </si>
  <si>
    <t>HR</t>
  </si>
  <si>
    <t>Software</t>
  </si>
  <si>
    <t>Low</t>
  </si>
  <si>
    <t>No</t>
  </si>
  <si>
    <t>Dina</t>
  </si>
  <si>
    <t>TK4001</t>
  </si>
  <si>
    <t>Registrar</t>
  </si>
  <si>
    <t>Network</t>
  </si>
  <si>
    <t>Yes</t>
  </si>
  <si>
    <t>Ana</t>
  </si>
  <si>
    <t>TK4002</t>
  </si>
  <si>
    <t>Library</t>
  </si>
  <si>
    <t>Password</t>
  </si>
  <si>
    <t>Ben</t>
  </si>
  <si>
    <t>TK4003</t>
  </si>
  <si>
    <t>Description</t>
  </si>
  <si>
    <t>High</t>
  </si>
  <si>
    <t>Data Type</t>
  </si>
  <si>
    <t>#</t>
  </si>
  <si>
    <t>Valid Values / Range</t>
  </si>
  <si>
    <t>Example</t>
  </si>
  <si>
    <t>TK4004</t>
  </si>
  <si>
    <t>IT</t>
  </si>
  <si>
    <t>TK4005</t>
  </si>
  <si>
    <t>Finance</t>
  </si>
  <si>
    <t>Medium</t>
  </si>
  <si>
    <t>question 2.</t>
  </si>
  <si>
    <t>No possible duplicate tickets and data errors</t>
  </si>
  <si>
    <t xml:space="preserve">Response time </t>
  </si>
  <si>
    <t>values</t>
  </si>
  <si>
    <t>Unique identifier for each help desk ticket</t>
  </si>
  <si>
    <t>TK4006</t>
  </si>
  <si>
    <t>Text</t>
  </si>
  <si>
    <t>question 3.</t>
  </si>
  <si>
    <t>TK4000–TK4049</t>
  </si>
  <si>
    <t>Response Time: mean 55.5 min, median 46.0 min, min 6 min, max 118 min. Resolution Time: mean 6.53 hrs, median 6.15 hrs, min 0.8 hrs, max 11.6 hrs. See Analysis sheet, Q3 table.</t>
  </si>
  <si>
    <t>Sequential day number the ticket was logged on</t>
  </si>
  <si>
    <t>mean</t>
  </si>
  <si>
    <t>question 4.</t>
  </si>
  <si>
    <t>Integer</t>
  </si>
  <si>
    <t>50 total help desk tickets recorded. See Analysis sheet, Q4.</t>
  </si>
  <si>
    <t>1–50</t>
  </si>
  <si>
    <t>1</t>
  </si>
  <si>
    <t>Department that submitted the ticket</t>
  </si>
  <si>
    <t>Text (categorical)</t>
  </si>
  <si>
    <t>question 5.</t>
  </si>
  <si>
    <t>Finance, HR, IT, Library, Registrar</t>
  </si>
  <si>
    <t>Task</t>
  </si>
  <si>
    <t>Password 12, Network 11, Hardware 11, Account 9, Software 7 tickets. Password issues are the most common (24% of all tickets). See Analysis sheet, Q5 table and Charts sheet (Tickets by Issue Type).</t>
  </si>
  <si>
    <t>Category of the reported IT issue</t>
  </si>
  <si>
    <t>question 6.</t>
  </si>
  <si>
    <t>Account, Hardware, Network, Password, Software</t>
  </si>
  <si>
    <t>Medium 21, High 14, Low 11, Critical 4 tickets. Most tickets (42%) are Medium priority. See Analysis sheet, Q6 table and Charts sheet (Tickets by Priority).</t>
  </si>
  <si>
    <t>Urgency level assigned to the ticket</t>
  </si>
  <si>
    <t>Low, Medium, High, Critical</t>
  </si>
  <si>
    <t>question 7.</t>
  </si>
  <si>
    <t>Avg response time by priority: Critical 62.3 min, High 32.4 min, Low 57.0 min, Medium 68.9 min. High-priority tickets get the fastest response, but Critical tickets are answered slower than both High and Low priority tickets — a notable SLA misalignment. See Analysis sheet, Q7 table.</t>
  </si>
  <si>
    <t>Time elapsed between ticket submission and first technician response, in minutes</t>
  </si>
  <si>
    <t>Check the dataset for missing values and possible invalid entries.</t>
  </si>
  <si>
    <t>6–118</t>
  </si>
  <si>
    <t>77</t>
  </si>
  <si>
    <t>question 8.</t>
  </si>
  <si>
    <t>Avg resolution time by issue type: Password 7.7 hrs, Software 7.0 hrs, Account 6.6 hrs, Hardware 5.9 hrs, Network 5.5 hrs. Password issues take the longest to resolve despite usually being simple fixes. See Analysis sheet, Q8 table and Charts sheet (Average Resolution Time by Issue Type).</t>
  </si>
  <si>
    <t>Total time to resolve the ticket, in hours</t>
  </si>
  <si>
    <t>Check for duplicate tickets or other data errors.</t>
  </si>
  <si>
    <t>Decimal</t>
  </si>
  <si>
    <t>0.8–11.6</t>
  </si>
  <si>
    <t>8.9</t>
  </si>
  <si>
    <t>Calculate descriptive statistics (mean, median, minimum, maximum) for response time and resolution time.</t>
  </si>
  <si>
    <t>Whether the ticket was resolved during the first technician interaction</t>
  </si>
  <si>
    <t>Text (Yes/No)</t>
  </si>
  <si>
    <t>Yes, No</t>
  </si>
  <si>
    <t>Determine the total number of help desk tickets recorded.</t>
  </si>
  <si>
    <t>TK4007</t>
  </si>
  <si>
    <t>Determine the number and percentage of tickets by issue type.</t>
  </si>
  <si>
    <t>question 9.</t>
  </si>
  <si>
    <t>Account</t>
  </si>
  <si>
    <t>Technician assigned to handle the ticket</t>
  </si>
  <si>
    <t>29 of 50 tickets (58.0%) were resolved on first contact. See Analysis sheet, Q9.</t>
  </si>
  <si>
    <t>Determine the number and percentage of tickets by priority level.</t>
  </si>
  <si>
    <t>Ana, Ben, Carlo, Dina</t>
  </si>
  <si>
    <t>Calculate the average response time by priority level.</t>
  </si>
  <si>
    <t>question 10.</t>
  </si>
  <si>
    <t>Customer satisfaction rating for the ticket</t>
  </si>
  <si>
    <t>median</t>
  </si>
  <si>
    <t>Calculate the average resolution time by issue type.</t>
  </si>
  <si>
    <t>2.5–5.0 (scale of 1–5)</t>
  </si>
  <si>
    <t>By issue type, avg satisfaction ranges narrowly from 3.68 (Hardware) to 3.92 (Network). By priority, satisfaction rises with priority: Critical 4.18, High 3.94, Low 3.70, Medium 3.68 — tickets escalated as urgent tend to leave users more satisfied once handled. See Analysis sheet, Q10 tables.</t>
  </si>
  <si>
    <t>3.8</t>
  </si>
  <si>
    <t>Calculate the percentage of tickets resolved on first contact.</t>
  </si>
  <si>
    <t>question 11.</t>
  </si>
  <si>
    <t>Calculate average customer satisfaction rating by issue type and by priority level.</t>
  </si>
  <si>
    <t>Ana: 7 tickets, 6.0 hrs avg resolution, 4.17 avg satisfaction (best satisfaction, lowest load). Ben: 17 tickets, 6.9 hrs avg resolution, 3.78 avg satisfaction (highest ticket load). Carlo: 12 tickets, 5.7 hrs avg resolution, 3.91 avg satisfaction (fastest average resolution). Dina: 14 tickets, 7.0 hrs avg resolution, 3.53 avg satisfaction (slowest resolution, lowest satisfaction). See Analysis sheet, Q11 table.</t>
  </si>
  <si>
    <t>Compare technician performance (ticket volume, average resolution time, average satisfaction).</t>
  </si>
  <si>
    <t>question 12.</t>
  </si>
  <si>
    <t>Three charts created on the Charts sheet: (1) Tickets by Issue Type — column chart, (2) Tickets by Priority — pie chart, (3) Average Resolution Time by Issue Type — column chart.</t>
  </si>
  <si>
    <t>Create charts to visualize tickets by issue type, tickets by priority, and average resolution time by issue type.</t>
  </si>
  <si>
    <t>question 13.</t>
  </si>
  <si>
    <t>Build a pivot table summarizing tickets by issue type and priority, with ticket counts and average response/resolution times.</t>
  </si>
  <si>
    <t>A PivotTable-style summary (Issue Type x Priority, with Number of Tickets, Avg Response Time, and Avg Resolution Time) is on the PivotTable sheet, built with COUNTIFS/AVERAGEIFS so it stays live if the raw data changes. It can also be recreated as a native Excel PivotTable via Insert &gt; PivotTable on Raw_Data.</t>
  </si>
  <si>
    <t>TK4008</t>
  </si>
  <si>
    <t>Identify key patterns or trends in the data.</t>
  </si>
  <si>
    <t>Provide recommendations based on the findings.</t>
  </si>
  <si>
    <t>question 14.</t>
  </si>
  <si>
    <t xml:space="preserve">minimum </t>
  </si>
  <si>
    <t>Patterns identified: (1) Critical-priority tickets are answered slower on average than High- and even Low-priority tickets, despite the urgency label. (2) Password issues are the most frequent issue type and also take the longest to resolve on average. (3) Only 58% of tickets are resolved on first contact, meaning 42% require repeat follow-up. (4) Technician workload is uneven — Ben handles more than double Ana's ticket volume, and higher workload correlates with lower average satisfaction (Ben and Dina, the two busiest technicians, have the lowest satisfaction scores).</t>
  </si>
  <si>
    <t>question 15.</t>
  </si>
  <si>
    <t>Recommendations: (1) Fix the SLA/triage process so Critical tickets are routed and answered fastest — currently they wait longer on average than High-priority tickets. (2) Create a self-service password reset tool or improved documentation, since Password issues are both the most common and slowest-resolved category. (3) Rebalance ticket assignment across technicians (e.g., shift some of Ben's and Dina's load to Ana and Carlo) and review first-contact resolution training, since only 58% of tickets are closed on the first interaction.</t>
  </si>
  <si>
    <t>TK4009</t>
  </si>
  <si>
    <t>maximum</t>
  </si>
  <si>
    <t>TK4010</t>
  </si>
  <si>
    <t>TK4011</t>
  </si>
  <si>
    <t>Hardware</t>
  </si>
  <si>
    <t>Carlo</t>
  </si>
  <si>
    <t>Resolution Time</t>
  </si>
  <si>
    <t>Values</t>
  </si>
  <si>
    <t>TK4012</t>
  </si>
  <si>
    <t>Critical</t>
  </si>
  <si>
    <t>TK4013</t>
  </si>
  <si>
    <t>TK4014</t>
  </si>
  <si>
    <t>TK4015</t>
  </si>
  <si>
    <t>TK4016</t>
  </si>
  <si>
    <t>TK4017</t>
  </si>
  <si>
    <t>TK4018</t>
  </si>
  <si>
    <t>TK4019</t>
  </si>
  <si>
    <t>TK4020</t>
  </si>
  <si>
    <t>TK4021</t>
  </si>
  <si>
    <t>TK4022</t>
  </si>
  <si>
    <t>TK4023</t>
  </si>
  <si>
    <t>TK4024</t>
  </si>
  <si>
    <t>TK4025</t>
  </si>
  <si>
    <t>TK4026</t>
  </si>
  <si>
    <t>TK4027</t>
  </si>
  <si>
    <t>TK4028</t>
  </si>
  <si>
    <t>TK4029</t>
  </si>
  <si>
    <t>TK4030</t>
  </si>
  <si>
    <t>TK4031</t>
  </si>
  <si>
    <t>TK4032</t>
  </si>
  <si>
    <t>TK4033</t>
  </si>
  <si>
    <t>TK4034</t>
  </si>
  <si>
    <t>TK4035</t>
  </si>
  <si>
    <t>TK4036</t>
  </si>
  <si>
    <t>TK4037</t>
  </si>
  <si>
    <t>TK4038</t>
  </si>
  <si>
    <t>TK4039</t>
  </si>
  <si>
    <t>TK4040</t>
  </si>
  <si>
    <t>TK4041</t>
  </si>
  <si>
    <t>TK4042</t>
  </si>
  <si>
    <t>TK4043</t>
  </si>
  <si>
    <t>TK4044</t>
  </si>
  <si>
    <t>TK4045</t>
  </si>
  <si>
    <t>TK4046</t>
  </si>
  <si>
    <t>TK4047</t>
  </si>
  <si>
    <t>TK4048</t>
  </si>
  <si>
    <t>TK4049</t>
  </si>
  <si>
    <t>IT HELP DESK TICKET ANALYSIS — Computations</t>
  </si>
  <si>
    <t>Q3. Descriptive Statistics — Response Time (min) &amp; Resolution Time (hrs)</t>
  </si>
  <si>
    <t>Metric</t>
  </si>
  <si>
    <t>Mean</t>
  </si>
  <si>
    <t>Median</t>
  </si>
  <si>
    <t>Minimum</t>
  </si>
  <si>
    <t>Maximum</t>
  </si>
  <si>
    <t>Q4. Total Number of Help Desk Tickets</t>
  </si>
  <si>
    <t>Total Tickets</t>
  </si>
  <si>
    <t>PIVOT SUMMARY — Issue Type x Priority</t>
  </si>
  <si>
    <t>Built with COUNTIFS / AVERAGEIFS so it recalculates like a live pivot; select the table and use Insert &gt; PivotTable on Raw_Data for an interactive Excel PivotTable if required.</t>
  </si>
  <si>
    <t>Q5. Number of Tickets by Issue Type</t>
  </si>
  <si>
    <t>Issue Type</t>
  </si>
  <si>
    <t>Number of Tickets</t>
  </si>
  <si>
    <t>% of Total</t>
  </si>
  <si>
    <t>Avg Response Time (min)</t>
  </si>
  <si>
    <t>Avg Resolution Time (hrs)</t>
  </si>
  <si>
    <t>Q6. Number of Tickets by Priority Level</t>
  </si>
  <si>
    <t>Q7. Average Response Time (min) by Priority Level</t>
  </si>
  <si>
    <t>Q8. Average Resolution Time (hrs) by Issue Type</t>
  </si>
  <si>
    <t>Q9. Percentage of Tickets Resolved on First Contact</t>
  </si>
  <si>
    <t>Resolved on First Contact (Yes count)</t>
  </si>
  <si>
    <t>% Resolved on First Contact</t>
  </si>
  <si>
    <t>Q10. Average Customer Satisfaction Rating</t>
  </si>
  <si>
    <t>By Issue Type</t>
  </si>
  <si>
    <t>Avg Satisfaction</t>
  </si>
  <si>
    <t>By Priority Level</t>
  </si>
  <si>
    <t>Q11. Technician Performance Comparison</t>
  </si>
  <si>
    <t>Tickets Handled</t>
  </si>
  <si>
    <t>TOTAL</t>
  </si>
  <si>
    <t>REQUIRED CHARTS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</si>
</sst>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13">
    <font>
      <sz val="11.0"/>
      <color rgb="FF000000"/>
      <name val="Arial"/>
      <scheme val="minor"/>
    </font>
    <font>
      <b/>
      <sz val="11.0"/>
      <color theme="1"/>
      <name val="Calibri"/>
    </font>
    <font>
      <b/>
      <sz val="13.0"/>
      <color theme="1"/>
      <name val="Arial"/>
      <scheme val="minor"/>
    </font>
    <font>
      <b/>
      <sz val="11.0"/>
      <color rgb="FFFFFFFF"/>
      <name val="Arial"/>
    </font>
    <font>
      <sz val="11.0"/>
      <color rgb="FF000000"/>
      <name val="Arial"/>
    </font>
    <font>
      <sz val="11.0"/>
      <color theme="1"/>
      <name val="Arial"/>
    </font>
    <font>
      <b/>
      <sz val="10.0"/>
      <color theme="1"/>
      <name val="Arial"/>
    </font>
    <font>
      <i/>
      <sz val="9.0"/>
      <color rgb="FF808080"/>
      <name val="Arial"/>
      <scheme val="minor"/>
    </font>
    <font>
      <b/>
      <color rgb="FFFFFFFF"/>
      <name val="Arial"/>
      <scheme val="minor"/>
    </font>
    <font>
      <sz val="10.0"/>
      <color theme="1"/>
      <name val="Arial"/>
    </font>
    <font>
      <b/>
      <sz val="13.0"/>
      <color rgb="FF1F4E78"/>
      <name val="Arial"/>
    </font>
    <font>
      <b/>
      <sz val="11.0"/>
      <color rgb="FF1F4E78"/>
      <name val="Arial"/>
    </font>
    <font>
      <i/>
      <sz val="9.0"/>
      <color rgb="FF808080"/>
      <name val="Arial"/>
    </font>
  </fonts>
  <fills count="4">
    <fill>
      <patternFill patternType="none"/>
    </fill>
    <fill>
      <patternFill patternType="lightGray"/>
    </fill>
    <fill>
      <patternFill patternType="solid">
        <fgColor rgb="FF1F4E78"/>
        <bgColor rgb="FF1F4E78"/>
      </patternFill>
    </fill>
    <fill>
      <patternFill patternType="solid">
        <fgColor rgb="FF4472C4"/>
        <bgColor rgb="FF4472C4"/>
      </patternFill>
    </fill>
  </fills>
  <borders count="4">
    <border/>
    <border>
      <left/>
      <right/>
      <top/>
      <bottom/>
    </border>
    <border>
      <left style="thin">
        <color rgb="FFB7B7B7"/>
      </left>
      <right style="thin">
        <color rgb="FFB7B7B7"/>
      </right>
      <top style="thin">
        <color rgb="FFB7B7B7"/>
      </top>
      <bottom style="thin">
        <color rgb="FFB7B7B7"/>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Font="1"/>
    <xf borderId="1" fillId="2" fontId="3" numFmtId="0" xfId="0" applyAlignment="1" applyBorder="1" applyFill="1" applyFont="1">
      <alignment vertical="bottom"/>
    </xf>
    <xf borderId="0" fillId="0" fontId="4" numFmtId="0" xfId="0" applyAlignment="1" applyFont="1">
      <alignment vertical="bottom"/>
    </xf>
    <xf borderId="0" fillId="0" fontId="4" numFmtId="0" xfId="0" applyFont="1"/>
    <xf borderId="0" fillId="0" fontId="5" numFmtId="0" xfId="0" applyAlignment="1" applyFont="1">
      <alignment vertical="center"/>
    </xf>
    <xf borderId="2" fillId="0" fontId="6" numFmtId="0" xfId="0" applyAlignment="1" applyBorder="1" applyFont="1">
      <alignment vertical="bottom"/>
    </xf>
    <xf borderId="0" fillId="0" fontId="7" numFmtId="0" xfId="0" applyFont="1"/>
    <xf borderId="1" fillId="3" fontId="8" numFmtId="0" xfId="0" applyAlignment="1" applyBorder="1" applyFill="1" applyFont="1">
      <alignment horizontal="center" shrinkToFit="0" vertical="center" wrapText="1"/>
    </xf>
    <xf borderId="2" fillId="0" fontId="9" numFmtId="0" xfId="0" applyAlignment="1" applyBorder="1" applyFont="1">
      <alignment shrinkToFit="0" vertical="top" wrapText="1"/>
    </xf>
    <xf borderId="3" fillId="0" fontId="4" numFmtId="0" xfId="0" applyAlignment="1" applyBorder="1" applyFont="1">
      <alignment shrinkToFit="0" vertical="center" wrapText="1"/>
    </xf>
    <xf borderId="1" fillId="3" fontId="8" numFmtId="0" xfId="0" applyAlignment="1" applyBorder="1" applyFill="1" applyFont="1">
      <alignment horizontal="center" vertical="center"/>
    </xf>
    <xf borderId="3" fillId="0" fontId="4" numFmtId="0" xfId="0" applyAlignment="1" applyBorder="1" applyFont="1">
      <alignment horizontal="center" vertical="center"/>
    </xf>
    <xf borderId="0" fillId="0" fontId="5" numFmtId="0" xfId="0" applyAlignment="1" applyFont="1">
      <alignment readingOrder="0" vertical="center"/>
    </xf>
    <xf borderId="2" fillId="0" fontId="10" numFmtId="0" xfId="0" applyAlignment="1" applyBorder="1" applyFont="1">
      <alignment vertical="bottom"/>
    </xf>
    <xf borderId="2" fillId="0" fontId="11" numFmtId="0" xfId="0" applyAlignment="1" applyBorder="1" applyFont="1">
      <alignment vertical="bottom"/>
    </xf>
    <xf borderId="2" fillId="2" fontId="3" numFmtId="0" xfId="0" applyAlignment="1" applyBorder="1" applyFill="1" applyFont="1">
      <alignment horizontal="center" shrinkToFit="0" vertical="center" wrapText="1"/>
    </xf>
    <xf borderId="2" fillId="0" fontId="9" numFmtId="164" xfId="0" applyAlignment="1" applyBorder="1" applyFont="1" applyNumberFormat="1">
      <alignment vertical="bottom"/>
    </xf>
    <xf borderId="2" fillId="0" fontId="9" numFmtId="0" xfId="0" applyAlignment="1" applyBorder="1" applyFont="1">
      <alignment vertical="bottom"/>
    </xf>
    <xf borderId="2" fillId="0" fontId="12" numFmtId="0" xfId="0" applyAlignment="1" applyBorder="1" applyFont="1">
      <alignment vertical="bottom"/>
    </xf>
    <xf borderId="2" fillId="0" fontId="9" numFmtId="165" xfId="0" applyAlignment="1" applyBorder="1" applyFont="1" applyNumberFormat="1">
      <alignment vertical="bottom"/>
    </xf>
    <xf borderId="2" fillId="0" fontId="9" numFmtId="2" xfId="0" applyAlignment="1" applyBorder="1" applyFont="1" applyNumberFormat="1">
      <alignment vertical="bottom"/>
    </xf>
    <xf borderId="2" fillId="0" fontId="6" numFmtId="164" xfId="0" applyAlignment="1" applyBorder="1" applyFont="1" applyNumberFormat="1">
      <alignment vertical="bottom"/>
    </xf>
    <xf borderId="0" fillId="0" fontId="10"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Tickets by Issue Type</a:t>
            </a:r>
          </a:p>
        </c:rich>
      </c:tx>
      <c:overlay val="0"/>
    </c:title>
    <c:plotArea>
      <c:layout/>
      <c:barChart>
        <c:barDir val="col"/>
        <c:ser>
          <c:idx val="0"/>
          <c:order val="0"/>
          <c:tx>
            <c:v>Number of Tickets</c:v>
          </c:tx>
          <c:spPr>
            <a:solidFill>
              <a:srgbClr val="4F81BD"/>
            </a:solidFill>
            <a:ln cmpd="sng">
              <a:noFill/>
            </a:ln>
          </c:spPr>
          <c:cat>
            <c:strRef>
              <c:f>Analysis!$A$15:$A$19</c:f>
            </c:strRef>
          </c:cat>
          <c:val>
            <c:numRef>
              <c:f>Analysis!$B$15:$B$19</c:f>
              <c:numCache/>
            </c:numRef>
          </c:val>
        </c:ser>
        <c:axId val="1331703768"/>
        <c:axId val="758711314"/>
      </c:barChart>
      <c:catAx>
        <c:axId val="1331703768"/>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Issue Type</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758711314"/>
      </c:catAx>
      <c:valAx>
        <c:axId val="758711314"/>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Tickets</a:t>
                </a:r>
              </a:p>
            </c:rich>
          </c:tx>
          <c:overlay val="0"/>
        </c:title>
        <c:numFmt formatCode="General" sourceLinked="0"/>
        <c:majorTickMark val="none"/>
        <c:minorTickMark val="none"/>
        <c:tickLblPos val="nextTo"/>
        <c:spPr>
          <a:ln>
            <a:noFill/>
          </a:ln>
        </c:spPr>
        <c:txPr>
          <a:bodyPr/>
          <a:lstStyle/>
          <a:p>
            <a:pPr lvl="0">
              <a:defRPr b="0" i="0" sz="1000">
                <a:solidFill>
                  <a:srgbClr val="000000"/>
                </a:solidFill>
                <a:latin typeface="Calibri"/>
              </a:defRPr>
            </a:pPr>
          </a:p>
        </c:txPr>
        <c:crossAx val="1331703768"/>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Tickets by Priority</a:t>
            </a:r>
          </a:p>
        </c:rich>
      </c:tx>
      <c:overlay val="0"/>
    </c:title>
    <c:plotArea>
      <c:layout/>
      <c:pieChart>
        <c:varyColors val="1"/>
        <c:ser>
          <c:idx val="0"/>
          <c:order val="0"/>
          <c:tx>
            <c:strRef>
              <c:f>Analysis!$B$22</c:f>
            </c:strRef>
          </c:tx>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Lbls>
            <c:dLbl>
              <c:idx val="0"/>
              <c:txPr>
                <a:bodyPr/>
                <a:lstStyle/>
                <a:p>
                  <a:pPr lvl="0">
                    <a:defRPr b="0" i="0" sz="1000">
                      <a:solidFill>
                        <a:srgbClr val="000000"/>
                      </a:solidFill>
                      <a:latin typeface="Arial"/>
                    </a:defRPr>
                  </a:pPr>
                </a:p>
              </c:txPr>
              <c:showLegendKey val="0"/>
              <c:showVal val="0"/>
              <c:showCatName val="0"/>
              <c:showSerName val="0"/>
              <c:showPercent val="0"/>
              <c:showBubbleSize val="0"/>
            </c:dLbl>
            <c:dLbl>
              <c:idx val="1"/>
              <c:txPr>
                <a:bodyPr/>
                <a:lstStyle/>
                <a:p>
                  <a:pPr lvl="0">
                    <a:defRPr b="0" i="0" sz="1000">
                      <a:solidFill>
                        <a:srgbClr val="000000"/>
                      </a:solidFill>
                      <a:latin typeface="Arial"/>
                    </a:defRPr>
                  </a:pPr>
                </a:p>
              </c:txPr>
              <c:showLegendKey val="0"/>
              <c:showVal val="0"/>
              <c:showCatName val="0"/>
              <c:showSerName val="0"/>
              <c:showPercent val="0"/>
              <c:showBubbleSize val="0"/>
            </c:dLbl>
            <c:dLbl>
              <c:idx val="2"/>
              <c:txPr>
                <a:bodyPr/>
                <a:lstStyle/>
                <a:p>
                  <a:pPr lvl="0">
                    <a:defRPr b="0" i="0" sz="1000">
                      <a:solidFill>
                        <a:srgbClr val="000000"/>
                      </a:solidFill>
                      <a:latin typeface="Arial"/>
                    </a:defRPr>
                  </a:pPr>
                </a:p>
              </c:txPr>
              <c:showLegendKey val="0"/>
              <c:showVal val="0"/>
              <c:showCatName val="0"/>
              <c:showSerName val="0"/>
              <c:showPercent val="0"/>
              <c:showBubbleSize val="0"/>
            </c:dLbl>
            <c:dLbl>
              <c:idx val="3"/>
              <c:txPr>
                <a:bodyPr/>
                <a:lstStyle/>
                <a:p>
                  <a:pPr lvl="0">
                    <a:defRPr b="0" i="0" sz="1000">
                      <a:solidFill>
                        <a:srgbClr val="000000"/>
                      </a:solidFill>
                      <a:latin typeface="Arial"/>
                    </a:defRPr>
                  </a:pPr>
                </a:p>
              </c:txPr>
              <c:showLegendKey val="0"/>
              <c:showVal val="0"/>
              <c:showCatName val="0"/>
              <c:showSerName val="0"/>
              <c:showPercent val="0"/>
              <c:showBubbleSize val="0"/>
            </c:dLbl>
            <c:showLegendKey val="0"/>
            <c:showVal val="0"/>
            <c:showCatName val="0"/>
            <c:showSerName val="0"/>
            <c:showPercent val="0"/>
            <c:showBubbleSize val="0"/>
            <c:showLeaderLines val="1"/>
          </c:dLbls>
          <c:cat>
            <c:strRef>
              <c:f>Analysis!$A$23:$A$26</c:f>
            </c:strRef>
          </c:cat>
          <c:val>
            <c:numRef>
              <c:f>Analysis!$B$23:$B$26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Average Resolution Time by Issue Type</a:t>
            </a:r>
          </a:p>
        </c:rich>
      </c:tx>
      <c:overlay val="0"/>
    </c:title>
    <c:plotArea>
      <c:layout/>
      <c:barChart>
        <c:barDir val="col"/>
        <c:ser>
          <c:idx val="0"/>
          <c:order val="0"/>
          <c:tx>
            <c:v>Avg Resolution Time (hrs)</c:v>
          </c:tx>
          <c:spPr>
            <a:solidFill>
              <a:srgbClr val="C0504D"/>
            </a:solidFill>
            <a:ln cmpd="sng">
              <a:noFill/>
            </a:ln>
          </c:spPr>
          <c:cat>
            <c:strRef>
              <c:f>Analysis!$A$37:$A$41</c:f>
            </c:strRef>
          </c:cat>
          <c:val>
            <c:numRef>
              <c:f>Analysis!$B$37:$B$41</c:f>
              <c:numCache/>
            </c:numRef>
          </c:val>
        </c:ser>
        <c:axId val="781211561"/>
        <c:axId val="1827549075"/>
      </c:barChart>
      <c:catAx>
        <c:axId val="781211561"/>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Issue Type</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827549075"/>
      </c:catAx>
      <c:valAx>
        <c:axId val="1827549075"/>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Avg Resolution Time (hrs)</a:t>
                </a:r>
              </a:p>
            </c:rich>
          </c:tx>
          <c:overlay val="0"/>
        </c:title>
        <c:numFmt formatCode="0.0" sourceLinked="0"/>
        <c:majorTickMark val="none"/>
        <c:minorTickMark val="none"/>
        <c:tickLblPos val="nextTo"/>
        <c:spPr>
          <a:ln>
            <a:noFill/>
          </a:ln>
        </c:spPr>
        <c:txPr>
          <a:bodyPr/>
          <a:lstStyle/>
          <a:p>
            <a:pPr lvl="0">
              <a:defRPr b="0" i="0" sz="1000">
                <a:solidFill>
                  <a:srgbClr val="000000"/>
                </a:solidFill>
                <a:latin typeface="Calibri"/>
              </a:defRPr>
            </a:pPr>
          </a:p>
        </c:txPr>
        <c:crossAx val="781211561"/>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161925</xdr:rowOff>
    </xdr:from>
    <xdr:ext cx="3800475" cy="3190875"/>
    <xdr:graphicFrame>
      <xdr:nvGraphicFramePr>
        <xdr:cNvPr id="208576155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18</xdr:row>
      <xdr:rowOff>161925</xdr:rowOff>
    </xdr:from>
    <xdr:ext cx="3800475" cy="3057525"/>
    <xdr:graphicFrame>
      <xdr:nvGraphicFramePr>
        <xdr:cNvPr id="1369500888" name="Chart 2" title="Tickets by Priority"/>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35</xdr:row>
      <xdr:rowOff>161925</xdr:rowOff>
    </xdr:from>
    <xdr:ext cx="3800475" cy="3038475"/>
    <xdr:graphicFrame>
      <xdr:nvGraphicFramePr>
        <xdr:cNvPr id="1585935247" name="Chart 3"/>
        <xdr:cNvGraphicFramePr/>
      </xdr:nvGraphicFramePr>
      <xdr:xfrm>
        <a:off x="0" y="0"/>
        <a:ext cx="0" cy="0"/>
      </xdr:xfrm>
      <a:graphic>
        <a:graphicData uri="http://schemas.openxmlformats.org/drawingml/2006/chart">
          <c:chart r:id="rId3"/>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5" width="12.0"/>
    <col customWidth="1" min="6" max="6" width="15.88"/>
    <col customWidth="1" min="7" max="7" width="18.0"/>
    <col customWidth="1" min="8" max="8" width="24.0"/>
    <col customWidth="1" min="9" max="9" width="12.0"/>
    <col customWidth="1" min="10" max="11" width="14.0"/>
    <col customWidth="1" min="12" max="12" width="16.13"/>
    <col customWidth="1" min="13" max="13" width="14.0"/>
    <col customWidth="1" min="14" max="26" width="14.38"/>
  </cols>
  <sheetData>
    <row r="1" ht="15.0" customHeight="1">
      <c r="A1" s="1" t="s">
        <v>1</v>
      </c>
      <c r="B1" s="1" t="s">
        <v>4</v>
      </c>
      <c r="C1" s="1" t="s">
        <v>5</v>
      </c>
      <c r="D1" s="1" t="s">
        <v>6</v>
      </c>
      <c r="E1" s="1" t="s">
        <v>7</v>
      </c>
      <c r="F1" s="1" t="s">
        <v>8</v>
      </c>
      <c r="G1" s="1" t="s">
        <v>9</v>
      </c>
      <c r="H1" s="1" t="s">
        <v>10</v>
      </c>
      <c r="I1" s="1" t="s">
        <v>11</v>
      </c>
      <c r="J1" s="1" t="s">
        <v>12</v>
      </c>
      <c r="K1" s="4"/>
      <c r="L1" s="6"/>
      <c r="M1" s="4"/>
    </row>
    <row r="2" ht="15.0" customHeight="1">
      <c r="A2" s="4" t="s">
        <v>16</v>
      </c>
      <c r="B2" s="4">
        <v>1.0</v>
      </c>
      <c r="C2" s="4" t="s">
        <v>19</v>
      </c>
      <c r="D2" s="4" t="s">
        <v>20</v>
      </c>
      <c r="E2" s="4" t="s">
        <v>21</v>
      </c>
      <c r="F2" s="4">
        <v>77.0</v>
      </c>
      <c r="G2" s="4">
        <v>8.9</v>
      </c>
      <c r="H2" s="4" t="s">
        <v>22</v>
      </c>
      <c r="I2" s="4" t="s">
        <v>23</v>
      </c>
      <c r="J2" s="4">
        <v>3.8</v>
      </c>
      <c r="K2" s="4"/>
      <c r="L2" s="6"/>
      <c r="M2" s="4"/>
    </row>
    <row r="3" ht="15.0" customHeight="1">
      <c r="A3" s="4" t="s">
        <v>24</v>
      </c>
      <c r="B3" s="4">
        <v>2.0</v>
      </c>
      <c r="C3" s="4" t="s">
        <v>25</v>
      </c>
      <c r="D3" s="4" t="s">
        <v>26</v>
      </c>
      <c r="E3" s="4" t="s">
        <v>21</v>
      </c>
      <c r="F3" s="4">
        <v>79.0</v>
      </c>
      <c r="G3" s="4">
        <v>4.4</v>
      </c>
      <c r="H3" s="4" t="s">
        <v>27</v>
      </c>
      <c r="I3" s="4" t="s">
        <v>28</v>
      </c>
      <c r="J3" s="4">
        <v>3.3</v>
      </c>
      <c r="K3" s="4"/>
      <c r="L3" s="6"/>
      <c r="M3" s="4"/>
    </row>
    <row r="4" ht="15.0" customHeight="1">
      <c r="A4" s="4" t="s">
        <v>29</v>
      </c>
      <c r="B4" s="4">
        <v>3.0</v>
      </c>
      <c r="C4" s="4" t="s">
        <v>30</v>
      </c>
      <c r="D4" s="4" t="s">
        <v>31</v>
      </c>
      <c r="E4" s="4" t="s">
        <v>21</v>
      </c>
      <c r="F4" s="4">
        <v>7.0</v>
      </c>
      <c r="G4" s="4">
        <v>10.8</v>
      </c>
      <c r="H4" s="4" t="s">
        <v>27</v>
      </c>
      <c r="I4" s="4" t="s">
        <v>32</v>
      </c>
      <c r="J4" s="4">
        <v>3.8</v>
      </c>
      <c r="K4" s="4"/>
      <c r="L4" s="6"/>
      <c r="M4" s="4"/>
    </row>
    <row r="5" ht="15.0" customHeight="1">
      <c r="A5" s="4" t="s">
        <v>33</v>
      </c>
      <c r="B5" s="4">
        <v>4.0</v>
      </c>
      <c r="C5" s="4" t="s">
        <v>25</v>
      </c>
      <c r="D5" s="4" t="s">
        <v>26</v>
      </c>
      <c r="E5" s="4" t="s">
        <v>35</v>
      </c>
      <c r="F5" s="4">
        <v>19.0</v>
      </c>
      <c r="G5" s="4">
        <v>8.7</v>
      </c>
      <c r="H5" s="4" t="s">
        <v>27</v>
      </c>
      <c r="I5" s="4" t="s">
        <v>32</v>
      </c>
      <c r="J5" s="4">
        <v>3.9</v>
      </c>
      <c r="K5" s="4"/>
      <c r="L5" s="6"/>
      <c r="M5" s="4"/>
    </row>
    <row r="6" ht="15.0" customHeight="1">
      <c r="A6" s="4" t="s">
        <v>40</v>
      </c>
      <c r="B6" s="4">
        <v>5.0</v>
      </c>
      <c r="C6" s="4" t="s">
        <v>41</v>
      </c>
      <c r="D6" s="4" t="s">
        <v>20</v>
      </c>
      <c r="E6" s="4" t="s">
        <v>35</v>
      </c>
      <c r="F6" s="4">
        <v>32.0</v>
      </c>
      <c r="G6" s="4">
        <v>5.7</v>
      </c>
      <c r="H6" s="4" t="s">
        <v>22</v>
      </c>
      <c r="I6" s="4" t="s">
        <v>32</v>
      </c>
      <c r="J6" s="4">
        <v>4.2</v>
      </c>
      <c r="K6" s="4"/>
      <c r="L6" s="6"/>
      <c r="M6" s="4"/>
    </row>
    <row r="7" ht="15.0" customHeight="1">
      <c r="A7" s="4" t="s">
        <v>42</v>
      </c>
      <c r="B7" s="4">
        <v>6.0</v>
      </c>
      <c r="C7" s="4" t="s">
        <v>43</v>
      </c>
      <c r="D7" s="4" t="s">
        <v>31</v>
      </c>
      <c r="E7" s="4" t="s">
        <v>44</v>
      </c>
      <c r="F7" s="4">
        <v>77.0</v>
      </c>
      <c r="G7" s="4">
        <v>10.5</v>
      </c>
      <c r="H7" s="4" t="s">
        <v>27</v>
      </c>
      <c r="I7" s="4" t="s">
        <v>32</v>
      </c>
      <c r="J7" s="4">
        <v>2.6</v>
      </c>
      <c r="K7" s="4"/>
      <c r="L7" s="6" t="s">
        <v>47</v>
      </c>
      <c r="M7" s="6" t="s">
        <v>48</v>
      </c>
    </row>
    <row r="8" ht="15.0" customHeight="1">
      <c r="A8" s="4" t="s">
        <v>50</v>
      </c>
      <c r="B8" s="4">
        <v>7.0</v>
      </c>
      <c r="C8" s="4" t="s">
        <v>43</v>
      </c>
      <c r="D8" s="4" t="s">
        <v>31</v>
      </c>
      <c r="E8" s="4" t="s">
        <v>44</v>
      </c>
      <c r="F8" s="4">
        <v>6.0</v>
      </c>
      <c r="G8" s="4">
        <v>8.7</v>
      </c>
      <c r="H8" s="4" t="s">
        <v>27</v>
      </c>
      <c r="I8" s="4" t="s">
        <v>23</v>
      </c>
      <c r="J8" s="4">
        <v>4.2</v>
      </c>
      <c r="K8" s="4"/>
      <c r="L8" s="6" t="s">
        <v>56</v>
      </c>
      <c r="M8" s="6">
        <f>AVERAGE(Raw_Data!F2:F51)</f>
        <v>55.5</v>
      </c>
    </row>
    <row r="9" ht="15.0" customHeight="1">
      <c r="A9" s="4" t="s">
        <v>92</v>
      </c>
      <c r="B9" s="4">
        <v>8.0</v>
      </c>
      <c r="C9" s="4" t="s">
        <v>19</v>
      </c>
      <c r="D9" s="4" t="s">
        <v>95</v>
      </c>
      <c r="E9" s="4" t="s">
        <v>44</v>
      </c>
      <c r="F9" s="4">
        <v>112.0</v>
      </c>
      <c r="G9" s="4">
        <v>4.4</v>
      </c>
      <c r="H9" s="4" t="s">
        <v>27</v>
      </c>
      <c r="I9" s="4" t="s">
        <v>23</v>
      </c>
      <c r="J9" s="4">
        <v>3.5</v>
      </c>
      <c r="K9" s="4"/>
      <c r="L9" s="6" t="s">
        <v>103</v>
      </c>
      <c r="M9" s="6">
        <f>MEDIAN(F2:F51)</f>
        <v>46</v>
      </c>
    </row>
    <row r="10" ht="19.5" customHeight="1">
      <c r="A10" s="4" t="s">
        <v>119</v>
      </c>
      <c r="B10" s="4">
        <v>9.0</v>
      </c>
      <c r="C10" s="4" t="s">
        <v>30</v>
      </c>
      <c r="D10" s="4" t="s">
        <v>20</v>
      </c>
      <c r="E10" s="4" t="s">
        <v>44</v>
      </c>
      <c r="F10" s="4">
        <v>43.0</v>
      </c>
      <c r="G10" s="4">
        <v>9.3</v>
      </c>
      <c r="H10" s="4" t="s">
        <v>22</v>
      </c>
      <c r="I10" s="4" t="s">
        <v>32</v>
      </c>
      <c r="J10" s="4">
        <v>3.7</v>
      </c>
      <c r="K10" s="4"/>
      <c r="L10" s="6" t="s">
        <v>123</v>
      </c>
      <c r="M10" s="6">
        <f>MIN(F2:F51)</f>
        <v>6</v>
      </c>
    </row>
    <row r="11" ht="19.5" customHeight="1">
      <c r="A11" s="4" t="s">
        <v>127</v>
      </c>
      <c r="B11" s="4">
        <v>10.0</v>
      </c>
      <c r="C11" s="4" t="s">
        <v>41</v>
      </c>
      <c r="D11" s="4" t="s">
        <v>26</v>
      </c>
      <c r="E11" s="4" t="s">
        <v>44</v>
      </c>
      <c r="F11" s="4">
        <v>51.0</v>
      </c>
      <c r="G11" s="4">
        <v>7.5</v>
      </c>
      <c r="H11" s="4" t="s">
        <v>22</v>
      </c>
      <c r="I11" s="4" t="s">
        <v>32</v>
      </c>
      <c r="J11" s="4">
        <v>4.0</v>
      </c>
      <c r="K11" s="4"/>
      <c r="L11" s="6" t="s">
        <v>128</v>
      </c>
      <c r="M11" s="6">
        <f>MAX(F2:F51)</f>
        <v>118</v>
      </c>
    </row>
    <row r="12" ht="15.0" customHeight="1">
      <c r="A12" s="4" t="s">
        <v>129</v>
      </c>
      <c r="B12" s="4">
        <v>11.0</v>
      </c>
      <c r="C12" s="4" t="s">
        <v>19</v>
      </c>
      <c r="D12" s="4" t="s">
        <v>20</v>
      </c>
      <c r="E12" s="4" t="s">
        <v>21</v>
      </c>
      <c r="F12" s="4">
        <v>35.0</v>
      </c>
      <c r="G12" s="4">
        <v>11.3</v>
      </c>
      <c r="H12" s="4" t="s">
        <v>22</v>
      </c>
      <c r="I12" s="4" t="s">
        <v>32</v>
      </c>
      <c r="J12" s="4">
        <v>3.8</v>
      </c>
      <c r="K12" s="4"/>
      <c r="L12" s="6"/>
      <c r="M12" s="4"/>
    </row>
    <row r="13" ht="15.0" customHeight="1">
      <c r="A13" s="4" t="s">
        <v>130</v>
      </c>
      <c r="B13" s="4">
        <v>12.0</v>
      </c>
      <c r="C13" s="4" t="s">
        <v>19</v>
      </c>
      <c r="D13" s="4" t="s">
        <v>131</v>
      </c>
      <c r="E13" s="4" t="s">
        <v>44</v>
      </c>
      <c r="F13" s="4">
        <v>115.0</v>
      </c>
      <c r="G13" s="4">
        <v>3.1</v>
      </c>
      <c r="H13" s="4" t="s">
        <v>22</v>
      </c>
      <c r="I13" s="4" t="s">
        <v>132</v>
      </c>
      <c r="J13" s="4">
        <v>3.8</v>
      </c>
      <c r="K13" s="4"/>
      <c r="L13" s="6" t="s">
        <v>133</v>
      </c>
      <c r="M13" s="6" t="s">
        <v>134</v>
      </c>
    </row>
    <row r="14" ht="15.75" customHeight="1">
      <c r="A14" s="4" t="s">
        <v>135</v>
      </c>
      <c r="B14" s="4">
        <v>13.0</v>
      </c>
      <c r="C14" s="4" t="s">
        <v>25</v>
      </c>
      <c r="D14" s="4" t="s">
        <v>26</v>
      </c>
      <c r="E14" s="4" t="s">
        <v>136</v>
      </c>
      <c r="F14" s="4">
        <v>82.0</v>
      </c>
      <c r="G14" s="4">
        <v>3.0</v>
      </c>
      <c r="H14" s="4" t="s">
        <v>27</v>
      </c>
      <c r="I14" s="4" t="s">
        <v>132</v>
      </c>
      <c r="J14" s="4">
        <v>4.4</v>
      </c>
      <c r="K14" s="4"/>
      <c r="L14" s="6" t="s">
        <v>56</v>
      </c>
      <c r="M14" s="6">
        <f>AVERAGE(G2:G51)</f>
        <v>6.532</v>
      </c>
    </row>
    <row r="15" ht="15.75" customHeight="1">
      <c r="A15" s="4" t="s">
        <v>137</v>
      </c>
      <c r="B15" s="4">
        <v>14.0</v>
      </c>
      <c r="C15" s="4" t="s">
        <v>19</v>
      </c>
      <c r="D15" s="4" t="s">
        <v>26</v>
      </c>
      <c r="E15" s="4" t="s">
        <v>44</v>
      </c>
      <c r="F15" s="4">
        <v>42.0</v>
      </c>
      <c r="G15" s="4">
        <v>4.0</v>
      </c>
      <c r="H15" s="4" t="s">
        <v>27</v>
      </c>
      <c r="I15" s="4" t="s">
        <v>23</v>
      </c>
      <c r="J15" s="4">
        <v>4.2</v>
      </c>
      <c r="K15" s="4"/>
      <c r="L15" s="6" t="s">
        <v>103</v>
      </c>
      <c r="M15" s="6">
        <f>MEDIAN(G2:G51)</f>
        <v>6.15</v>
      </c>
    </row>
    <row r="16" ht="15.0" customHeight="1">
      <c r="A16" s="4" t="s">
        <v>138</v>
      </c>
      <c r="B16" s="4">
        <v>15.0</v>
      </c>
      <c r="C16" s="4" t="s">
        <v>30</v>
      </c>
      <c r="D16" s="4" t="s">
        <v>31</v>
      </c>
      <c r="E16" s="4" t="s">
        <v>136</v>
      </c>
      <c r="F16" s="4">
        <v>58.0</v>
      </c>
      <c r="G16" s="4">
        <v>6.3</v>
      </c>
      <c r="H16" s="4" t="s">
        <v>27</v>
      </c>
      <c r="I16" s="4" t="s">
        <v>132</v>
      </c>
      <c r="J16" s="4">
        <v>3.3</v>
      </c>
      <c r="K16" s="4"/>
      <c r="L16" s="6" t="s">
        <v>123</v>
      </c>
      <c r="M16" s="6">
        <f>MIN(G2:G51)</f>
        <v>0.8</v>
      </c>
    </row>
    <row r="17" ht="15.0" customHeight="1">
      <c r="A17" s="4" t="s">
        <v>139</v>
      </c>
      <c r="B17" s="4">
        <v>16.0</v>
      </c>
      <c r="C17" s="4" t="s">
        <v>30</v>
      </c>
      <c r="D17" s="4" t="s">
        <v>131</v>
      </c>
      <c r="E17" s="4" t="s">
        <v>44</v>
      </c>
      <c r="F17" s="4">
        <v>96.0</v>
      </c>
      <c r="G17" s="4">
        <v>11.0</v>
      </c>
      <c r="H17" s="4" t="s">
        <v>22</v>
      </c>
      <c r="I17" s="4" t="s">
        <v>132</v>
      </c>
      <c r="J17" s="4">
        <v>3.3</v>
      </c>
      <c r="K17" s="4"/>
      <c r="L17" s="6" t="s">
        <v>128</v>
      </c>
      <c r="M17" s="6">
        <f>MAX(G2:G51)</f>
        <v>11.6</v>
      </c>
    </row>
    <row r="18" ht="15.0" customHeight="1">
      <c r="A18" s="4" t="s">
        <v>140</v>
      </c>
      <c r="B18" s="4">
        <v>17.0</v>
      </c>
      <c r="C18" s="4" t="s">
        <v>19</v>
      </c>
      <c r="D18" s="4" t="s">
        <v>95</v>
      </c>
      <c r="E18" s="4" t="s">
        <v>21</v>
      </c>
      <c r="F18" s="4">
        <v>48.0</v>
      </c>
      <c r="G18" s="4">
        <v>5.7</v>
      </c>
      <c r="H18" s="4" t="s">
        <v>27</v>
      </c>
      <c r="I18" s="4" t="s">
        <v>23</v>
      </c>
      <c r="J18" s="4">
        <v>3.8</v>
      </c>
      <c r="K18" s="4"/>
      <c r="L18" s="6"/>
      <c r="M18" s="4"/>
    </row>
    <row r="19" ht="15.0" customHeight="1">
      <c r="A19" s="4" t="s">
        <v>141</v>
      </c>
      <c r="B19" s="4">
        <v>18.0</v>
      </c>
      <c r="C19" s="4" t="s">
        <v>41</v>
      </c>
      <c r="D19" s="4" t="s">
        <v>26</v>
      </c>
      <c r="E19" s="4" t="s">
        <v>136</v>
      </c>
      <c r="F19" s="4">
        <v>36.0</v>
      </c>
      <c r="G19" s="4">
        <v>2.4</v>
      </c>
      <c r="H19" s="4" t="s">
        <v>22</v>
      </c>
      <c r="I19" s="4" t="s">
        <v>23</v>
      </c>
      <c r="J19" s="4">
        <v>5.0</v>
      </c>
      <c r="K19" s="4"/>
      <c r="L19" s="6"/>
      <c r="M19" s="4"/>
    </row>
    <row r="20" ht="15.0" customHeight="1">
      <c r="A20" s="4" t="s">
        <v>142</v>
      </c>
      <c r="B20" s="4">
        <v>19.0</v>
      </c>
      <c r="C20" s="4" t="s">
        <v>41</v>
      </c>
      <c r="D20" s="4" t="s">
        <v>131</v>
      </c>
      <c r="E20" s="4" t="s">
        <v>44</v>
      </c>
      <c r="F20" s="4">
        <v>77.0</v>
      </c>
      <c r="G20" s="4">
        <v>4.5</v>
      </c>
      <c r="H20" s="4" t="s">
        <v>27</v>
      </c>
      <c r="I20" s="4" t="s">
        <v>23</v>
      </c>
      <c r="J20" s="4">
        <v>3.2</v>
      </c>
      <c r="K20" s="4"/>
      <c r="L20" s="6"/>
      <c r="M20" s="4"/>
    </row>
    <row r="21" ht="15.75" customHeight="1">
      <c r="A21" s="4" t="s">
        <v>143</v>
      </c>
      <c r="B21" s="4">
        <v>20.0</v>
      </c>
      <c r="C21" s="4" t="s">
        <v>25</v>
      </c>
      <c r="D21" s="4" t="s">
        <v>95</v>
      </c>
      <c r="E21" s="4" t="s">
        <v>44</v>
      </c>
      <c r="F21" s="4">
        <v>118.0</v>
      </c>
      <c r="G21" s="4">
        <v>11.1</v>
      </c>
      <c r="H21" s="4" t="s">
        <v>27</v>
      </c>
      <c r="I21" s="4" t="s">
        <v>23</v>
      </c>
      <c r="J21" s="4">
        <v>3.9</v>
      </c>
      <c r="K21" s="4"/>
      <c r="L21" s="14" t="s">
        <v>56</v>
      </c>
      <c r="M21" s="4">
        <f>AVERAGE(F2:F51)</f>
        <v>55.5</v>
      </c>
    </row>
    <row r="22" ht="15.75" customHeight="1">
      <c r="A22" s="4" t="s">
        <v>144</v>
      </c>
      <c r="B22" s="4">
        <v>21.0</v>
      </c>
      <c r="C22" s="4" t="s">
        <v>25</v>
      </c>
      <c r="D22" s="4" t="s">
        <v>131</v>
      </c>
      <c r="E22" s="4" t="s">
        <v>35</v>
      </c>
      <c r="F22" s="4">
        <v>28.0</v>
      </c>
      <c r="G22" s="4">
        <v>5.5</v>
      </c>
      <c r="H22" s="4" t="s">
        <v>22</v>
      </c>
      <c r="I22" s="4" t="s">
        <v>132</v>
      </c>
      <c r="J22" s="4">
        <v>3.9</v>
      </c>
      <c r="K22" s="4"/>
      <c r="L22" s="6">
        <f>MEDIAN(F2:F51)</f>
        <v>46</v>
      </c>
      <c r="M22" s="4"/>
    </row>
    <row r="23" ht="15.75" customHeight="1">
      <c r="A23" s="4" t="s">
        <v>145</v>
      </c>
      <c r="B23" s="4">
        <v>22.0</v>
      </c>
      <c r="C23" s="4" t="s">
        <v>30</v>
      </c>
      <c r="D23" s="4" t="s">
        <v>31</v>
      </c>
      <c r="E23" s="4" t="s">
        <v>21</v>
      </c>
      <c r="F23" s="4">
        <v>100.0</v>
      </c>
      <c r="G23" s="4">
        <v>11.5</v>
      </c>
      <c r="H23" s="4" t="s">
        <v>27</v>
      </c>
      <c r="I23" s="4" t="s">
        <v>23</v>
      </c>
      <c r="J23" s="4">
        <v>2.9</v>
      </c>
      <c r="K23" s="4"/>
      <c r="L23" s="6">
        <f>MIN(F2:F51)</f>
        <v>6</v>
      </c>
      <c r="M23" s="4"/>
    </row>
    <row r="24" ht="15.75" customHeight="1">
      <c r="A24" s="4" t="s">
        <v>146</v>
      </c>
      <c r="B24" s="4">
        <v>23.0</v>
      </c>
      <c r="C24" s="4" t="s">
        <v>30</v>
      </c>
      <c r="D24" s="4" t="s">
        <v>31</v>
      </c>
      <c r="E24" s="4" t="s">
        <v>35</v>
      </c>
      <c r="F24" s="4">
        <v>74.0</v>
      </c>
      <c r="G24" s="4">
        <v>7.8</v>
      </c>
      <c r="H24" s="4" t="s">
        <v>27</v>
      </c>
      <c r="I24" s="4" t="s">
        <v>32</v>
      </c>
      <c r="J24" s="4">
        <v>4.2</v>
      </c>
      <c r="K24" s="4"/>
      <c r="L24" s="6">
        <f>MAX(G2:G51)</f>
        <v>11.6</v>
      </c>
      <c r="M24" s="4"/>
    </row>
    <row r="25" ht="15.75" customHeight="1">
      <c r="A25" s="4" t="s">
        <v>147</v>
      </c>
      <c r="B25" s="4">
        <v>24.0</v>
      </c>
      <c r="C25" s="4" t="s">
        <v>25</v>
      </c>
      <c r="D25" s="4" t="s">
        <v>26</v>
      </c>
      <c r="E25" s="4" t="s">
        <v>21</v>
      </c>
      <c r="F25" s="4">
        <v>114.0</v>
      </c>
      <c r="G25" s="4">
        <v>1.6</v>
      </c>
      <c r="H25" s="4" t="s">
        <v>27</v>
      </c>
      <c r="I25" s="4" t="s">
        <v>32</v>
      </c>
      <c r="J25" s="4">
        <v>3.8</v>
      </c>
      <c r="K25" s="4"/>
      <c r="L25" s="6"/>
      <c r="M25" s="4"/>
    </row>
    <row r="26" ht="15.75" customHeight="1">
      <c r="A26" s="4" t="s">
        <v>148</v>
      </c>
      <c r="B26" s="4">
        <v>25.0</v>
      </c>
      <c r="C26" s="4" t="s">
        <v>19</v>
      </c>
      <c r="D26" s="4" t="s">
        <v>131</v>
      </c>
      <c r="E26" s="4" t="s">
        <v>35</v>
      </c>
      <c r="F26" s="4">
        <v>14.0</v>
      </c>
      <c r="G26" s="4">
        <v>2.9</v>
      </c>
      <c r="H26" s="4" t="s">
        <v>27</v>
      </c>
      <c r="I26" s="4" t="s">
        <v>32</v>
      </c>
      <c r="J26" s="4">
        <v>5.0</v>
      </c>
      <c r="K26" s="4"/>
      <c r="L26" s="6">
        <f>SUM(G2:G51)</f>
        <v>326.6</v>
      </c>
      <c r="M26" s="4"/>
    </row>
    <row r="27" ht="15.75" customHeight="1">
      <c r="A27" s="4" t="s">
        <v>149</v>
      </c>
      <c r="B27" s="4">
        <v>26.0</v>
      </c>
      <c r="C27" s="4" t="s">
        <v>41</v>
      </c>
      <c r="D27" s="4" t="s">
        <v>131</v>
      </c>
      <c r="E27" s="4" t="s">
        <v>44</v>
      </c>
      <c r="F27" s="4">
        <v>40.0</v>
      </c>
      <c r="G27" s="4">
        <v>6.4</v>
      </c>
      <c r="H27" s="4" t="s">
        <v>27</v>
      </c>
      <c r="I27" s="4" t="s">
        <v>23</v>
      </c>
      <c r="J27" s="4">
        <v>3.6</v>
      </c>
      <c r="K27" s="4"/>
      <c r="L27" s="6"/>
      <c r="M27" s="4"/>
    </row>
    <row r="28" ht="15.75" customHeight="1">
      <c r="A28" s="4" t="s">
        <v>150</v>
      </c>
      <c r="B28" s="4">
        <v>27.0</v>
      </c>
      <c r="C28" s="4" t="s">
        <v>41</v>
      </c>
      <c r="D28" s="4" t="s">
        <v>26</v>
      </c>
      <c r="E28" s="4" t="s">
        <v>21</v>
      </c>
      <c r="F28" s="4">
        <v>6.0</v>
      </c>
      <c r="G28" s="4">
        <v>6.0</v>
      </c>
      <c r="H28" s="4" t="s">
        <v>27</v>
      </c>
      <c r="I28" s="4" t="s">
        <v>28</v>
      </c>
      <c r="J28" s="4">
        <v>3.9</v>
      </c>
      <c r="K28" s="4"/>
      <c r="L28" s="6"/>
      <c r="M28" s="4"/>
    </row>
    <row r="29" ht="15.75" customHeight="1">
      <c r="A29" s="4" t="s">
        <v>151</v>
      </c>
      <c r="B29" s="4">
        <v>28.0</v>
      </c>
      <c r="C29" s="4" t="s">
        <v>41</v>
      </c>
      <c r="D29" s="4" t="s">
        <v>131</v>
      </c>
      <c r="E29" s="4" t="s">
        <v>44</v>
      </c>
      <c r="F29" s="4">
        <v>88.0</v>
      </c>
      <c r="G29" s="4">
        <v>9.1</v>
      </c>
      <c r="H29" s="4" t="s">
        <v>22</v>
      </c>
      <c r="I29" s="4" t="s">
        <v>23</v>
      </c>
      <c r="J29" s="4">
        <v>3.0</v>
      </c>
      <c r="K29" s="4"/>
      <c r="L29" s="6"/>
      <c r="M29" s="4"/>
    </row>
    <row r="30" ht="15.75" customHeight="1">
      <c r="A30" s="4" t="s">
        <v>152</v>
      </c>
      <c r="B30" s="4">
        <v>29.0</v>
      </c>
      <c r="C30" s="4" t="s">
        <v>19</v>
      </c>
      <c r="D30" s="4" t="s">
        <v>26</v>
      </c>
      <c r="E30" s="4" t="s">
        <v>35</v>
      </c>
      <c r="F30" s="4">
        <v>87.0</v>
      </c>
      <c r="G30" s="4">
        <v>11.6</v>
      </c>
      <c r="H30" s="4" t="s">
        <v>22</v>
      </c>
      <c r="I30" s="4" t="s">
        <v>23</v>
      </c>
      <c r="J30" s="4">
        <v>2.5</v>
      </c>
      <c r="K30" s="4"/>
      <c r="L30" s="6"/>
      <c r="M30" s="4"/>
    </row>
    <row r="31" ht="15.75" customHeight="1">
      <c r="A31" s="4" t="s">
        <v>153</v>
      </c>
      <c r="B31" s="4">
        <v>30.0</v>
      </c>
      <c r="C31" s="4" t="s">
        <v>41</v>
      </c>
      <c r="D31" s="4" t="s">
        <v>31</v>
      </c>
      <c r="E31" s="4" t="s">
        <v>35</v>
      </c>
      <c r="F31" s="4">
        <v>13.0</v>
      </c>
      <c r="G31" s="4">
        <v>10.1</v>
      </c>
      <c r="H31" s="4" t="s">
        <v>22</v>
      </c>
      <c r="I31" s="4" t="s">
        <v>32</v>
      </c>
      <c r="J31" s="4">
        <v>3.4</v>
      </c>
      <c r="K31" s="4"/>
      <c r="L31" s="6"/>
      <c r="M31" s="4"/>
    </row>
    <row r="32" ht="15.75" customHeight="1">
      <c r="A32" s="4" t="s">
        <v>154</v>
      </c>
      <c r="B32" s="4">
        <v>31.0</v>
      </c>
      <c r="C32" s="4" t="s">
        <v>43</v>
      </c>
      <c r="D32" s="4" t="s">
        <v>95</v>
      </c>
      <c r="E32" s="4" t="s">
        <v>35</v>
      </c>
      <c r="F32" s="4">
        <v>32.0</v>
      </c>
      <c r="G32" s="4">
        <v>10.3</v>
      </c>
      <c r="H32" s="4" t="s">
        <v>27</v>
      </c>
      <c r="I32" s="4" t="s">
        <v>132</v>
      </c>
      <c r="J32" s="4">
        <v>3.2</v>
      </c>
      <c r="K32" s="4"/>
      <c r="L32" s="6"/>
      <c r="M32" s="4"/>
    </row>
    <row r="33" ht="15.75" customHeight="1">
      <c r="A33" s="4" t="s">
        <v>155</v>
      </c>
      <c r="B33" s="4">
        <v>32.0</v>
      </c>
      <c r="C33" s="4" t="s">
        <v>43</v>
      </c>
      <c r="D33" s="4" t="s">
        <v>31</v>
      </c>
      <c r="E33" s="4" t="s">
        <v>21</v>
      </c>
      <c r="F33" s="4">
        <v>29.0</v>
      </c>
      <c r="G33" s="4">
        <v>8.0</v>
      </c>
      <c r="H33" s="4" t="s">
        <v>22</v>
      </c>
      <c r="I33" s="4" t="s">
        <v>28</v>
      </c>
      <c r="J33" s="4">
        <v>5.0</v>
      </c>
      <c r="K33" s="4"/>
      <c r="L33" s="6"/>
      <c r="M33" s="4"/>
    </row>
    <row r="34" ht="15.75" customHeight="1">
      <c r="A34" s="4" t="s">
        <v>156</v>
      </c>
      <c r="B34" s="4">
        <v>33.0</v>
      </c>
      <c r="C34" s="4" t="s">
        <v>41</v>
      </c>
      <c r="D34" s="4" t="s">
        <v>131</v>
      </c>
      <c r="E34" s="4" t="s">
        <v>44</v>
      </c>
      <c r="F34" s="4">
        <v>10.0</v>
      </c>
      <c r="G34" s="4">
        <v>1.8</v>
      </c>
      <c r="H34" s="4" t="s">
        <v>22</v>
      </c>
      <c r="I34" s="4" t="s">
        <v>32</v>
      </c>
      <c r="J34" s="4">
        <v>4.5</v>
      </c>
      <c r="K34" s="4"/>
      <c r="L34" s="6"/>
      <c r="M34" s="4"/>
    </row>
    <row r="35" ht="15.75" customHeight="1">
      <c r="A35" s="4" t="s">
        <v>157</v>
      </c>
      <c r="B35" s="4">
        <v>34.0</v>
      </c>
      <c r="C35" s="4" t="s">
        <v>25</v>
      </c>
      <c r="D35" s="4" t="s">
        <v>95</v>
      </c>
      <c r="E35" s="4" t="s">
        <v>44</v>
      </c>
      <c r="F35" s="4">
        <v>116.0</v>
      </c>
      <c r="G35" s="4">
        <v>5.6</v>
      </c>
      <c r="H35" s="4" t="s">
        <v>27</v>
      </c>
      <c r="I35" s="4" t="s">
        <v>32</v>
      </c>
      <c r="J35" s="4">
        <v>3.2</v>
      </c>
      <c r="K35" s="4"/>
      <c r="L35" s="6"/>
      <c r="M35" s="4"/>
    </row>
    <row r="36" ht="15.75" customHeight="1">
      <c r="A36" s="4" t="s">
        <v>158</v>
      </c>
      <c r="B36" s="4">
        <v>35.0</v>
      </c>
      <c r="C36" s="4" t="s">
        <v>30</v>
      </c>
      <c r="D36" s="4" t="s">
        <v>31</v>
      </c>
      <c r="E36" s="4" t="s">
        <v>35</v>
      </c>
      <c r="F36" s="4">
        <v>16.0</v>
      </c>
      <c r="G36" s="4">
        <v>6.2</v>
      </c>
      <c r="H36" s="4" t="s">
        <v>27</v>
      </c>
      <c r="I36" s="4" t="s">
        <v>132</v>
      </c>
      <c r="J36" s="4">
        <v>4.8</v>
      </c>
      <c r="K36" s="4"/>
      <c r="L36" s="6"/>
      <c r="M36" s="4"/>
    </row>
    <row r="37" ht="15.75" customHeight="1">
      <c r="A37" s="4" t="s">
        <v>159</v>
      </c>
      <c r="B37" s="4">
        <v>36.0</v>
      </c>
      <c r="C37" s="4" t="s">
        <v>43</v>
      </c>
      <c r="D37" s="4" t="s">
        <v>95</v>
      </c>
      <c r="E37" s="4" t="s">
        <v>35</v>
      </c>
      <c r="F37" s="4">
        <v>28.0</v>
      </c>
      <c r="G37" s="4">
        <v>8.7</v>
      </c>
      <c r="H37" s="4" t="s">
        <v>27</v>
      </c>
      <c r="I37" s="4" t="s">
        <v>132</v>
      </c>
      <c r="J37" s="4">
        <v>3.1</v>
      </c>
      <c r="K37" s="4"/>
      <c r="L37" s="6"/>
      <c r="M37" s="4"/>
    </row>
    <row r="38" ht="15.75" customHeight="1">
      <c r="A38" s="4" t="s">
        <v>160</v>
      </c>
      <c r="B38" s="4">
        <v>37.0</v>
      </c>
      <c r="C38" s="4" t="s">
        <v>41</v>
      </c>
      <c r="D38" s="4" t="s">
        <v>20</v>
      </c>
      <c r="E38" s="4" t="s">
        <v>44</v>
      </c>
      <c r="F38" s="4">
        <v>106.0</v>
      </c>
      <c r="G38" s="4">
        <v>2.7</v>
      </c>
      <c r="H38" s="4" t="s">
        <v>22</v>
      </c>
      <c r="I38" s="4" t="s">
        <v>32</v>
      </c>
      <c r="J38" s="4">
        <v>3.3</v>
      </c>
      <c r="K38" s="4"/>
      <c r="L38" s="6"/>
      <c r="M38" s="4"/>
    </row>
    <row r="39" ht="15.75" customHeight="1">
      <c r="A39" s="4" t="s">
        <v>161</v>
      </c>
      <c r="B39" s="4">
        <v>38.0</v>
      </c>
      <c r="C39" s="4" t="s">
        <v>41</v>
      </c>
      <c r="D39" s="4" t="s">
        <v>31</v>
      </c>
      <c r="E39" s="4" t="s">
        <v>44</v>
      </c>
      <c r="F39" s="4">
        <v>12.0</v>
      </c>
      <c r="G39" s="4">
        <v>10.3</v>
      </c>
      <c r="H39" s="4" t="s">
        <v>27</v>
      </c>
      <c r="I39" s="4" t="s">
        <v>32</v>
      </c>
      <c r="J39" s="4">
        <v>4.4</v>
      </c>
      <c r="K39" s="4"/>
      <c r="L39" s="6"/>
      <c r="M39" s="4"/>
    </row>
    <row r="40" ht="15.75" customHeight="1">
      <c r="A40" s="4" t="s">
        <v>162</v>
      </c>
      <c r="B40" s="4">
        <v>39.0</v>
      </c>
      <c r="C40" s="4" t="s">
        <v>43</v>
      </c>
      <c r="D40" s="4" t="s">
        <v>95</v>
      </c>
      <c r="E40" s="4" t="s">
        <v>35</v>
      </c>
      <c r="F40" s="4">
        <v>18.0</v>
      </c>
      <c r="G40" s="4">
        <v>4.2</v>
      </c>
      <c r="H40" s="4" t="s">
        <v>27</v>
      </c>
      <c r="I40" s="4" t="s">
        <v>132</v>
      </c>
      <c r="J40" s="4">
        <v>4.1</v>
      </c>
      <c r="K40" s="4"/>
      <c r="L40" s="6"/>
      <c r="M40" s="4"/>
    </row>
    <row r="41" ht="15.75" customHeight="1">
      <c r="A41" s="4" t="s">
        <v>163</v>
      </c>
      <c r="B41" s="4">
        <v>40.0</v>
      </c>
      <c r="C41" s="4" t="s">
        <v>30</v>
      </c>
      <c r="D41" s="4" t="s">
        <v>95</v>
      </c>
      <c r="E41" s="4" t="s">
        <v>21</v>
      </c>
      <c r="F41" s="4">
        <v>49.0</v>
      </c>
      <c r="G41" s="4">
        <v>4.6</v>
      </c>
      <c r="H41" s="4" t="s">
        <v>27</v>
      </c>
      <c r="I41" s="4" t="s">
        <v>28</v>
      </c>
      <c r="J41" s="4">
        <v>3.7</v>
      </c>
      <c r="K41" s="4"/>
      <c r="L41" s="6"/>
      <c r="M41" s="4"/>
    </row>
    <row r="42" ht="15.75" customHeight="1">
      <c r="A42" s="4" t="s">
        <v>164</v>
      </c>
      <c r="B42" s="4">
        <v>41.0</v>
      </c>
      <c r="C42" s="4" t="s">
        <v>43</v>
      </c>
      <c r="D42" s="4" t="s">
        <v>95</v>
      </c>
      <c r="E42" s="4" t="s">
        <v>35</v>
      </c>
      <c r="F42" s="4">
        <v>20.0</v>
      </c>
      <c r="G42" s="4">
        <v>4.4</v>
      </c>
      <c r="H42" s="4" t="s">
        <v>22</v>
      </c>
      <c r="I42" s="4" t="s">
        <v>28</v>
      </c>
      <c r="J42" s="4">
        <v>4.9</v>
      </c>
      <c r="K42" s="4"/>
      <c r="L42" s="6"/>
      <c r="M42" s="4"/>
    </row>
    <row r="43" ht="15.75" customHeight="1">
      <c r="A43" s="4" t="s">
        <v>165</v>
      </c>
      <c r="B43" s="4">
        <v>42.0</v>
      </c>
      <c r="C43" s="4" t="s">
        <v>30</v>
      </c>
      <c r="D43" s="4" t="s">
        <v>131</v>
      </c>
      <c r="E43" s="4" t="s">
        <v>44</v>
      </c>
      <c r="F43" s="4">
        <v>118.0</v>
      </c>
      <c r="G43" s="4">
        <v>4.2</v>
      </c>
      <c r="H43" s="4" t="s">
        <v>22</v>
      </c>
      <c r="I43" s="4" t="s">
        <v>23</v>
      </c>
      <c r="J43" s="4">
        <v>2.9</v>
      </c>
      <c r="K43" s="4"/>
      <c r="L43" s="6"/>
      <c r="M43" s="4"/>
    </row>
    <row r="44" ht="15.75" customHeight="1">
      <c r="A44" s="4" t="s">
        <v>166</v>
      </c>
      <c r="B44" s="4">
        <v>43.0</v>
      </c>
      <c r="C44" s="4" t="s">
        <v>30</v>
      </c>
      <c r="D44" s="4" t="s">
        <v>20</v>
      </c>
      <c r="E44" s="4" t="s">
        <v>44</v>
      </c>
      <c r="F44" s="4">
        <v>44.0</v>
      </c>
      <c r="G44" s="4">
        <v>9.5</v>
      </c>
      <c r="H44" s="4" t="s">
        <v>22</v>
      </c>
      <c r="I44" s="4" t="s">
        <v>32</v>
      </c>
      <c r="J44" s="4">
        <v>3.6</v>
      </c>
      <c r="K44" s="4"/>
      <c r="L44" s="6"/>
      <c r="M44" s="4"/>
    </row>
    <row r="45" ht="15.75" customHeight="1">
      <c r="A45" s="4" t="s">
        <v>167</v>
      </c>
      <c r="B45" s="4">
        <v>44.0</v>
      </c>
      <c r="C45" s="4" t="s">
        <v>30</v>
      </c>
      <c r="D45" s="4" t="s">
        <v>26</v>
      </c>
      <c r="E45" s="4" t="s">
        <v>35</v>
      </c>
      <c r="F45" s="4">
        <v>11.0</v>
      </c>
      <c r="G45" s="4">
        <v>7.3</v>
      </c>
      <c r="H45" s="4" t="s">
        <v>22</v>
      </c>
      <c r="I45" s="4" t="s">
        <v>132</v>
      </c>
      <c r="J45" s="4">
        <v>4.1</v>
      </c>
      <c r="K45" s="4"/>
      <c r="L45" s="6"/>
      <c r="M45" s="4"/>
    </row>
    <row r="46" ht="15.75" customHeight="1">
      <c r="A46" s="4" t="s">
        <v>168</v>
      </c>
      <c r="B46" s="4">
        <v>45.0</v>
      </c>
      <c r="C46" s="4" t="s">
        <v>43</v>
      </c>
      <c r="D46" s="4" t="s">
        <v>131</v>
      </c>
      <c r="E46" s="4" t="s">
        <v>44</v>
      </c>
      <c r="F46" s="4">
        <v>33.0</v>
      </c>
      <c r="G46" s="4">
        <v>10.1</v>
      </c>
      <c r="H46" s="4" t="s">
        <v>27</v>
      </c>
      <c r="I46" s="4" t="s">
        <v>28</v>
      </c>
      <c r="J46" s="4">
        <v>4.4</v>
      </c>
      <c r="K46" s="4"/>
      <c r="L46" s="6"/>
      <c r="M46" s="4"/>
    </row>
    <row r="47" ht="15.75" customHeight="1">
      <c r="A47" s="4" t="s">
        <v>169</v>
      </c>
      <c r="B47" s="4">
        <v>46.0</v>
      </c>
      <c r="C47" s="4" t="s">
        <v>43</v>
      </c>
      <c r="D47" s="4" t="s">
        <v>131</v>
      </c>
      <c r="E47" s="4" t="s">
        <v>21</v>
      </c>
      <c r="F47" s="4">
        <v>83.0</v>
      </c>
      <c r="G47" s="4">
        <v>6.1</v>
      </c>
      <c r="H47" s="4" t="s">
        <v>27</v>
      </c>
      <c r="I47" s="4" t="s">
        <v>23</v>
      </c>
      <c r="J47" s="4">
        <v>2.9</v>
      </c>
      <c r="K47" s="4"/>
      <c r="L47" s="6"/>
      <c r="M47" s="4"/>
    </row>
    <row r="48" ht="15.75" customHeight="1">
      <c r="A48" s="4" t="s">
        <v>170</v>
      </c>
      <c r="B48" s="4">
        <v>47.0</v>
      </c>
      <c r="C48" s="4" t="s">
        <v>30</v>
      </c>
      <c r="D48" s="4" t="s">
        <v>20</v>
      </c>
      <c r="E48" s="4" t="s">
        <v>35</v>
      </c>
      <c r="F48" s="4">
        <v>61.0</v>
      </c>
      <c r="G48" s="4">
        <v>1.8</v>
      </c>
      <c r="H48" s="4" t="s">
        <v>27</v>
      </c>
      <c r="I48" s="4" t="s">
        <v>132</v>
      </c>
      <c r="J48" s="4">
        <v>3.9</v>
      </c>
      <c r="K48" s="4"/>
      <c r="L48" s="6"/>
      <c r="M48" s="4"/>
    </row>
    <row r="49" ht="15.75" customHeight="1">
      <c r="A49" s="4" t="s">
        <v>171</v>
      </c>
      <c r="B49" s="4">
        <v>48.0</v>
      </c>
      <c r="C49" s="4" t="s">
        <v>43</v>
      </c>
      <c r="D49" s="4" t="s">
        <v>26</v>
      </c>
      <c r="E49" s="4" t="s">
        <v>136</v>
      </c>
      <c r="F49" s="4">
        <v>73.0</v>
      </c>
      <c r="G49" s="4">
        <v>4.4</v>
      </c>
      <c r="H49" s="4" t="s">
        <v>22</v>
      </c>
      <c r="I49" s="4" t="s">
        <v>28</v>
      </c>
      <c r="J49" s="4">
        <v>4.0</v>
      </c>
      <c r="K49" s="4"/>
      <c r="L49" s="6"/>
      <c r="M49" s="4"/>
    </row>
    <row r="50" ht="15.75" customHeight="1">
      <c r="A50" s="4" t="s">
        <v>172</v>
      </c>
      <c r="B50" s="4">
        <v>49.0</v>
      </c>
      <c r="C50" s="4" t="s">
        <v>19</v>
      </c>
      <c r="D50" s="4" t="s">
        <v>31</v>
      </c>
      <c r="E50" s="4" t="s">
        <v>44</v>
      </c>
      <c r="F50" s="4">
        <v>100.0</v>
      </c>
      <c r="G50" s="4">
        <v>1.8</v>
      </c>
      <c r="H50" s="4" t="s">
        <v>22</v>
      </c>
      <c r="I50" s="4" t="s">
        <v>32</v>
      </c>
      <c r="J50" s="4">
        <v>2.9</v>
      </c>
      <c r="K50" s="4"/>
      <c r="L50" s="6"/>
      <c r="M50" s="4"/>
    </row>
    <row r="51" ht="15.75" customHeight="1">
      <c r="A51" s="4" t="s">
        <v>173</v>
      </c>
      <c r="B51" s="4">
        <v>50.0</v>
      </c>
      <c r="C51" s="4" t="s">
        <v>19</v>
      </c>
      <c r="D51" s="4" t="s">
        <v>31</v>
      </c>
      <c r="E51" s="4" t="s">
        <v>44</v>
      </c>
      <c r="F51" s="4">
        <v>42.0</v>
      </c>
      <c r="G51" s="4">
        <v>0.8</v>
      </c>
      <c r="H51" s="4" t="s">
        <v>27</v>
      </c>
      <c r="I51" s="4" t="s">
        <v>132</v>
      </c>
      <c r="J51" s="4">
        <v>5.0</v>
      </c>
      <c r="K51" s="4"/>
      <c r="L51" s="6"/>
      <c r="M51" s="4"/>
    </row>
    <row r="52" ht="15.75" customHeight="1">
      <c r="A52" s="6"/>
      <c r="B52" s="6"/>
      <c r="C52" s="6"/>
      <c r="D52" s="6"/>
      <c r="E52" s="6"/>
      <c r="F52" s="6"/>
      <c r="G52" s="6"/>
      <c r="H52" s="6"/>
      <c r="I52" s="6"/>
      <c r="J52" s="4"/>
      <c r="K52" s="4"/>
      <c r="L52" s="6"/>
      <c r="M52" s="4"/>
    </row>
    <row r="53" ht="15.75" customHeight="1">
      <c r="A53" s="6"/>
      <c r="B53" s="6"/>
      <c r="C53" s="6"/>
      <c r="D53" s="6"/>
      <c r="E53" s="6"/>
      <c r="F53" s="6"/>
      <c r="G53" s="6"/>
      <c r="H53" s="6"/>
      <c r="I53" s="6"/>
      <c r="J53" s="4"/>
      <c r="K53" s="4"/>
      <c r="L53" s="6"/>
      <c r="M53" s="4"/>
    </row>
    <row r="54" ht="15.75" customHeight="1">
      <c r="A54" s="6"/>
      <c r="B54" s="6"/>
      <c r="C54" s="6"/>
      <c r="D54" s="6"/>
      <c r="E54" s="6"/>
      <c r="F54" s="6"/>
      <c r="G54" s="6"/>
      <c r="H54" s="6"/>
      <c r="I54" s="6"/>
      <c r="J54" s="4"/>
      <c r="K54" s="4"/>
      <c r="L54" s="6"/>
      <c r="M54" s="4"/>
    </row>
    <row r="55" ht="15.75" customHeight="1">
      <c r="A55" s="6"/>
      <c r="B55" s="6"/>
      <c r="C55" s="6"/>
      <c r="D55" s="6"/>
      <c r="E55" s="6"/>
      <c r="F55" s="6"/>
      <c r="G55" s="6"/>
      <c r="H55" s="6"/>
      <c r="I55" s="6"/>
      <c r="J55" s="4"/>
      <c r="K55" s="4"/>
      <c r="L55" s="6"/>
      <c r="M55" s="4"/>
    </row>
    <row r="56" ht="15.75" customHeight="1">
      <c r="A56" s="6"/>
      <c r="B56" s="6"/>
      <c r="C56" s="6"/>
      <c r="D56" s="6"/>
      <c r="E56" s="6"/>
      <c r="F56" s="6"/>
      <c r="G56" s="6"/>
      <c r="H56" s="6"/>
      <c r="I56" s="6"/>
      <c r="J56" s="4"/>
      <c r="K56" s="4"/>
      <c r="L56" s="6"/>
      <c r="M56" s="4"/>
    </row>
    <row r="57" ht="15.75" customHeight="1">
      <c r="A57" s="6"/>
      <c r="B57" s="6"/>
      <c r="C57" s="6"/>
      <c r="D57" s="6"/>
      <c r="E57" s="6"/>
      <c r="F57" s="6"/>
      <c r="G57" s="6"/>
      <c r="H57" s="6"/>
      <c r="I57" s="6"/>
      <c r="J57" s="4"/>
      <c r="K57" s="4"/>
      <c r="L57" s="6"/>
      <c r="M57" s="4"/>
    </row>
    <row r="58" ht="15.75" customHeight="1">
      <c r="A58" s="6"/>
      <c r="B58" s="6"/>
      <c r="C58" s="6"/>
      <c r="D58" s="6"/>
      <c r="E58" s="6"/>
      <c r="F58" s="6"/>
      <c r="G58" s="6"/>
      <c r="H58" s="6"/>
      <c r="I58" s="6"/>
      <c r="J58" s="4"/>
      <c r="K58" s="4"/>
      <c r="L58" s="6"/>
      <c r="M58" s="4"/>
    </row>
    <row r="59" ht="15.75" customHeight="1">
      <c r="A59" s="6"/>
      <c r="B59" s="6"/>
      <c r="C59" s="6"/>
      <c r="D59" s="6"/>
      <c r="E59" s="6"/>
      <c r="F59" s="6"/>
      <c r="G59" s="6"/>
      <c r="H59" s="6"/>
      <c r="I59" s="6"/>
      <c r="J59" s="4"/>
      <c r="K59" s="4"/>
      <c r="L59" s="6"/>
      <c r="M59" s="4"/>
    </row>
    <row r="60" ht="15.75" customHeight="1">
      <c r="A60" s="6"/>
      <c r="B60" s="6"/>
      <c r="C60" s="6"/>
      <c r="D60" s="6"/>
      <c r="E60" s="6"/>
      <c r="F60" s="6"/>
      <c r="G60" s="6"/>
      <c r="H60" s="6"/>
      <c r="I60" s="6"/>
      <c r="J60" s="4"/>
      <c r="K60" s="4"/>
      <c r="L60" s="6"/>
      <c r="M60" s="4"/>
    </row>
    <row r="61" ht="15.75" customHeight="1">
      <c r="A61" s="6"/>
      <c r="B61" s="6"/>
      <c r="C61" s="6"/>
      <c r="D61" s="6"/>
      <c r="E61" s="6"/>
      <c r="F61" s="6"/>
      <c r="G61" s="6"/>
      <c r="H61" s="6"/>
      <c r="I61" s="6"/>
      <c r="J61" s="4"/>
      <c r="K61" s="4"/>
      <c r="L61" s="6"/>
      <c r="M61" s="4"/>
    </row>
    <row r="62" ht="15.75" customHeight="1">
      <c r="A62" s="6"/>
      <c r="B62" s="6"/>
      <c r="C62" s="6"/>
      <c r="D62" s="6"/>
      <c r="E62" s="6"/>
      <c r="F62" s="6"/>
      <c r="G62" s="6"/>
      <c r="H62" s="6"/>
      <c r="I62" s="6"/>
      <c r="J62" s="4"/>
      <c r="K62" s="4"/>
      <c r="L62" s="6"/>
      <c r="M62" s="4"/>
    </row>
    <row r="63" ht="15.75" customHeight="1">
      <c r="A63" s="6"/>
      <c r="B63" s="6"/>
      <c r="C63" s="6"/>
      <c r="D63" s="6"/>
      <c r="E63" s="6"/>
      <c r="F63" s="6"/>
      <c r="G63" s="6"/>
      <c r="H63" s="6"/>
      <c r="I63" s="6"/>
      <c r="J63" s="4"/>
      <c r="K63" s="4"/>
      <c r="L63" s="6"/>
      <c r="M63" s="4"/>
    </row>
    <row r="64" ht="15.75" customHeight="1">
      <c r="A64" s="6"/>
      <c r="B64" s="6"/>
      <c r="C64" s="6"/>
      <c r="D64" s="6"/>
      <c r="E64" s="6"/>
      <c r="F64" s="6"/>
      <c r="G64" s="6"/>
      <c r="H64" s="6"/>
      <c r="I64" s="6"/>
      <c r="J64" s="4"/>
      <c r="K64" s="4"/>
      <c r="L64" s="6"/>
      <c r="M64" s="4"/>
    </row>
    <row r="65" ht="15.75" customHeight="1">
      <c r="A65" s="6"/>
      <c r="B65" s="6"/>
      <c r="C65" s="6"/>
      <c r="D65" s="6"/>
      <c r="E65" s="6"/>
      <c r="F65" s="6"/>
      <c r="G65" s="6"/>
      <c r="H65" s="6"/>
      <c r="I65" s="6"/>
      <c r="J65" s="4"/>
      <c r="K65" s="4"/>
      <c r="L65" s="6"/>
      <c r="M65" s="4"/>
    </row>
    <row r="66" ht="15.75" customHeight="1">
      <c r="A66" s="6"/>
      <c r="B66" s="6"/>
      <c r="C66" s="6"/>
      <c r="D66" s="6"/>
      <c r="E66" s="6"/>
      <c r="F66" s="6"/>
      <c r="G66" s="6"/>
      <c r="H66" s="6"/>
      <c r="I66" s="6"/>
      <c r="J66" s="4"/>
      <c r="K66" s="4"/>
      <c r="L66" s="6"/>
      <c r="M66" s="4"/>
    </row>
    <row r="67" ht="15.75" customHeight="1">
      <c r="A67" s="6"/>
      <c r="B67" s="6"/>
      <c r="C67" s="6"/>
      <c r="D67" s="6"/>
      <c r="E67" s="6"/>
      <c r="F67" s="6"/>
      <c r="G67" s="6"/>
      <c r="H67" s="6"/>
      <c r="I67" s="6"/>
      <c r="J67" s="4"/>
      <c r="K67" s="4"/>
      <c r="L67" s="6"/>
      <c r="M67" s="4"/>
    </row>
    <row r="68" ht="15.75" customHeight="1">
      <c r="A68" s="6"/>
      <c r="B68" s="6"/>
      <c r="C68" s="6"/>
      <c r="D68" s="6"/>
      <c r="E68" s="6"/>
      <c r="F68" s="6"/>
      <c r="G68" s="6"/>
      <c r="H68" s="6"/>
      <c r="I68" s="6"/>
      <c r="J68" s="4"/>
      <c r="K68" s="4"/>
      <c r="L68" s="6"/>
      <c r="M68" s="4"/>
    </row>
    <row r="69" ht="15.75" customHeight="1">
      <c r="A69" s="6"/>
      <c r="B69" s="6"/>
      <c r="C69" s="6"/>
      <c r="D69" s="6"/>
      <c r="E69" s="6"/>
      <c r="F69" s="6"/>
      <c r="G69" s="6"/>
      <c r="H69" s="6"/>
      <c r="I69" s="6"/>
      <c r="J69" s="4"/>
      <c r="K69" s="4"/>
      <c r="L69" s="6"/>
      <c r="M69" s="4"/>
    </row>
    <row r="70" ht="15.75" customHeight="1">
      <c r="A70" s="6"/>
      <c r="B70" s="6"/>
      <c r="C70" s="6"/>
      <c r="D70" s="6"/>
      <c r="E70" s="6"/>
      <c r="F70" s="6"/>
      <c r="G70" s="6"/>
      <c r="H70" s="6"/>
      <c r="I70" s="6"/>
      <c r="J70" s="4"/>
      <c r="K70" s="4"/>
      <c r="L70" s="6"/>
      <c r="M70" s="4"/>
    </row>
    <row r="71" ht="15.75" customHeight="1">
      <c r="A71" s="6"/>
      <c r="B71" s="6"/>
      <c r="C71" s="6"/>
      <c r="D71" s="6"/>
      <c r="E71" s="6"/>
      <c r="F71" s="6"/>
      <c r="G71" s="6"/>
      <c r="H71" s="6"/>
      <c r="I71" s="6"/>
      <c r="J71" s="4"/>
      <c r="K71" s="4"/>
      <c r="L71" s="6"/>
      <c r="M71" s="4"/>
    </row>
    <row r="72" ht="15.75" customHeight="1">
      <c r="A72" s="6"/>
      <c r="B72" s="6"/>
      <c r="C72" s="6"/>
      <c r="D72" s="6"/>
      <c r="E72" s="6"/>
      <c r="F72" s="6"/>
      <c r="G72" s="6"/>
      <c r="H72" s="6"/>
      <c r="I72" s="6"/>
      <c r="J72" s="4"/>
      <c r="K72" s="4"/>
      <c r="L72" s="6"/>
      <c r="M72" s="4"/>
    </row>
    <row r="73" ht="15.75" customHeight="1">
      <c r="A73" s="6"/>
      <c r="B73" s="6"/>
      <c r="C73" s="6"/>
      <c r="D73" s="6"/>
      <c r="E73" s="6"/>
      <c r="F73" s="6"/>
      <c r="G73" s="6"/>
      <c r="H73" s="6"/>
      <c r="I73" s="6"/>
      <c r="J73" s="4"/>
      <c r="K73" s="4"/>
      <c r="L73" s="6"/>
      <c r="M73" s="4"/>
    </row>
    <row r="74" ht="15.75" customHeight="1">
      <c r="A74" s="6"/>
      <c r="B74" s="6"/>
      <c r="C74" s="6"/>
      <c r="D74" s="6"/>
      <c r="E74" s="6"/>
      <c r="F74" s="6"/>
      <c r="G74" s="6"/>
      <c r="H74" s="6"/>
      <c r="I74" s="6"/>
      <c r="J74" s="4"/>
      <c r="K74" s="4"/>
      <c r="L74" s="6"/>
      <c r="M74" s="4"/>
    </row>
    <row r="75" ht="15.75" customHeight="1">
      <c r="A75" s="6"/>
      <c r="B75" s="6"/>
      <c r="C75" s="6"/>
      <c r="D75" s="6"/>
      <c r="E75" s="6"/>
      <c r="F75" s="6"/>
      <c r="G75" s="6"/>
      <c r="H75" s="6"/>
      <c r="I75" s="6"/>
      <c r="J75" s="4"/>
      <c r="K75" s="4"/>
      <c r="L75" s="6"/>
      <c r="M75" s="4"/>
    </row>
    <row r="76" ht="15.75" customHeight="1">
      <c r="A76" s="6"/>
      <c r="B76" s="6"/>
      <c r="C76" s="6"/>
      <c r="D76" s="6"/>
      <c r="E76" s="6"/>
      <c r="F76" s="6"/>
      <c r="G76" s="6"/>
      <c r="H76" s="6"/>
      <c r="I76" s="6"/>
      <c r="J76" s="4"/>
      <c r="K76" s="4"/>
      <c r="L76" s="6"/>
      <c r="M76" s="4"/>
    </row>
    <row r="77" ht="15.75" customHeight="1">
      <c r="A77" s="6"/>
      <c r="B77" s="6"/>
      <c r="C77" s="6"/>
      <c r="D77" s="6"/>
      <c r="E77" s="6"/>
      <c r="F77" s="6"/>
      <c r="G77" s="6"/>
      <c r="H77" s="6"/>
      <c r="I77" s="6"/>
      <c r="J77" s="4"/>
      <c r="K77" s="4"/>
      <c r="L77" s="6"/>
      <c r="M77" s="4"/>
    </row>
    <row r="78" ht="15.75" customHeight="1">
      <c r="A78" s="6"/>
      <c r="B78" s="6"/>
      <c r="C78" s="6"/>
      <c r="D78" s="6"/>
      <c r="E78" s="6"/>
      <c r="F78" s="6"/>
      <c r="G78" s="6"/>
      <c r="H78" s="6"/>
      <c r="I78" s="6"/>
      <c r="J78" s="4"/>
      <c r="K78" s="4"/>
      <c r="L78" s="6"/>
      <c r="M78" s="4"/>
    </row>
    <row r="79" ht="15.75" customHeight="1">
      <c r="A79" s="6"/>
      <c r="B79" s="6"/>
      <c r="C79" s="6"/>
      <c r="D79" s="6"/>
      <c r="E79" s="6"/>
      <c r="F79" s="6"/>
      <c r="G79" s="6"/>
      <c r="H79" s="6"/>
      <c r="I79" s="6"/>
      <c r="J79" s="4"/>
      <c r="K79" s="4"/>
      <c r="L79" s="6"/>
      <c r="M79" s="4"/>
    </row>
    <row r="80" ht="15.75" customHeight="1">
      <c r="A80" s="6"/>
      <c r="B80" s="6"/>
      <c r="C80" s="6"/>
      <c r="D80" s="6"/>
      <c r="E80" s="6"/>
      <c r="F80" s="6"/>
      <c r="G80" s="6"/>
      <c r="H80" s="6"/>
      <c r="I80" s="6"/>
      <c r="J80" s="4"/>
      <c r="K80" s="4"/>
      <c r="L80" s="6"/>
      <c r="M80" s="4"/>
    </row>
    <row r="81" ht="15.75" customHeight="1">
      <c r="A81" s="6"/>
      <c r="B81" s="6"/>
      <c r="C81" s="6"/>
      <c r="D81" s="6"/>
      <c r="E81" s="6"/>
      <c r="F81" s="6"/>
      <c r="G81" s="6"/>
      <c r="H81" s="6"/>
      <c r="I81" s="6"/>
      <c r="J81" s="4"/>
      <c r="K81" s="4"/>
      <c r="L81" s="6"/>
      <c r="M81" s="4"/>
    </row>
    <row r="82" ht="15.75" customHeight="1">
      <c r="A82" s="6"/>
      <c r="B82" s="6"/>
      <c r="C82" s="6"/>
      <c r="D82" s="6"/>
      <c r="E82" s="6"/>
      <c r="F82" s="6"/>
      <c r="G82" s="6"/>
      <c r="H82" s="6"/>
      <c r="I82" s="6"/>
      <c r="J82" s="4"/>
      <c r="K82" s="4"/>
      <c r="L82" s="6"/>
      <c r="M82" s="4"/>
    </row>
    <row r="83" ht="15.75" customHeight="1">
      <c r="A83" s="6"/>
      <c r="B83" s="6"/>
      <c r="C83" s="6"/>
      <c r="D83" s="6"/>
      <c r="E83" s="6"/>
      <c r="F83" s="6"/>
      <c r="G83" s="6"/>
      <c r="H83" s="6"/>
      <c r="I83" s="6"/>
      <c r="J83" s="4"/>
      <c r="K83" s="4"/>
      <c r="L83" s="6"/>
      <c r="M83" s="4"/>
    </row>
    <row r="84" ht="15.75" customHeight="1">
      <c r="A84" s="6"/>
      <c r="B84" s="6"/>
      <c r="C84" s="6"/>
      <c r="D84" s="6"/>
      <c r="E84" s="6"/>
      <c r="F84" s="6"/>
      <c r="G84" s="6"/>
      <c r="H84" s="6"/>
      <c r="I84" s="6"/>
      <c r="J84" s="4"/>
      <c r="K84" s="4"/>
      <c r="L84" s="6"/>
      <c r="M84" s="4"/>
    </row>
    <row r="85" ht="15.75" customHeight="1">
      <c r="A85" s="6"/>
      <c r="B85" s="6"/>
      <c r="C85" s="6"/>
      <c r="D85" s="6"/>
      <c r="E85" s="6"/>
      <c r="F85" s="6"/>
      <c r="G85" s="6"/>
      <c r="H85" s="6"/>
      <c r="I85" s="6"/>
      <c r="J85" s="4"/>
      <c r="K85" s="4"/>
      <c r="L85" s="6"/>
      <c r="M85" s="4"/>
    </row>
    <row r="86" ht="15.75" customHeight="1">
      <c r="A86" s="6"/>
      <c r="B86" s="6"/>
      <c r="C86" s="6"/>
      <c r="D86" s="6"/>
      <c r="E86" s="6"/>
      <c r="F86" s="6"/>
      <c r="G86" s="6"/>
      <c r="H86" s="6"/>
      <c r="I86" s="6"/>
      <c r="J86" s="4"/>
      <c r="K86" s="4"/>
      <c r="L86" s="6"/>
      <c r="M86" s="4"/>
    </row>
    <row r="87" ht="15.75" customHeight="1">
      <c r="A87" s="6"/>
      <c r="B87" s="6"/>
      <c r="C87" s="6"/>
      <c r="D87" s="6"/>
      <c r="E87" s="6"/>
      <c r="F87" s="6"/>
      <c r="G87" s="6"/>
      <c r="H87" s="6"/>
      <c r="I87" s="6"/>
      <c r="J87" s="4"/>
      <c r="K87" s="4"/>
      <c r="L87" s="6"/>
      <c r="M87" s="4"/>
    </row>
    <row r="88" ht="15.75" customHeight="1">
      <c r="A88" s="6"/>
      <c r="B88" s="6"/>
      <c r="C88" s="6"/>
      <c r="D88" s="6"/>
      <c r="E88" s="6"/>
      <c r="F88" s="6"/>
      <c r="G88" s="6"/>
      <c r="H88" s="6"/>
      <c r="I88" s="6"/>
      <c r="J88" s="4"/>
      <c r="K88" s="4"/>
      <c r="L88" s="6"/>
      <c r="M88" s="4"/>
    </row>
    <row r="89" ht="15.75" customHeight="1">
      <c r="A89" s="6"/>
      <c r="B89" s="6"/>
      <c r="C89" s="6"/>
      <c r="D89" s="6"/>
      <c r="E89" s="6"/>
      <c r="F89" s="6"/>
      <c r="G89" s="6"/>
      <c r="H89" s="6"/>
      <c r="I89" s="6"/>
      <c r="J89" s="4"/>
      <c r="K89" s="4"/>
      <c r="L89" s="6"/>
      <c r="M89" s="4"/>
    </row>
    <row r="90" ht="15.75" customHeight="1">
      <c r="A90" s="6"/>
      <c r="B90" s="6"/>
      <c r="C90" s="6"/>
      <c r="D90" s="6"/>
      <c r="E90" s="6"/>
      <c r="F90" s="6"/>
      <c r="G90" s="6"/>
      <c r="H90" s="6"/>
      <c r="I90" s="6"/>
      <c r="J90" s="4"/>
      <c r="K90" s="4"/>
      <c r="L90" s="6"/>
      <c r="M90" s="4"/>
    </row>
    <row r="91" ht="15.75" customHeight="1">
      <c r="A91" s="6"/>
      <c r="B91" s="6"/>
      <c r="C91" s="6"/>
      <c r="D91" s="6"/>
      <c r="E91" s="6"/>
      <c r="F91" s="6"/>
      <c r="G91" s="6"/>
      <c r="H91" s="6"/>
      <c r="I91" s="6"/>
      <c r="J91" s="4"/>
      <c r="K91" s="4"/>
      <c r="L91" s="6"/>
      <c r="M91" s="4"/>
    </row>
    <row r="92" ht="15.75" customHeight="1">
      <c r="A92" s="6"/>
      <c r="B92" s="6"/>
      <c r="C92" s="6"/>
      <c r="D92" s="6"/>
      <c r="E92" s="6"/>
      <c r="F92" s="6"/>
      <c r="G92" s="6"/>
      <c r="H92" s="6"/>
      <c r="I92" s="6"/>
      <c r="J92" s="4"/>
      <c r="K92" s="4"/>
      <c r="L92" s="6"/>
      <c r="M92" s="4"/>
    </row>
    <row r="93" ht="15.75" customHeight="1">
      <c r="A93" s="6"/>
      <c r="B93" s="6"/>
      <c r="C93" s="6"/>
      <c r="D93" s="6"/>
      <c r="E93" s="6"/>
      <c r="F93" s="6"/>
      <c r="G93" s="6"/>
      <c r="H93" s="6"/>
      <c r="I93" s="6"/>
      <c r="J93" s="4"/>
      <c r="K93" s="4"/>
      <c r="L93" s="6"/>
      <c r="M93" s="4"/>
    </row>
    <row r="94" ht="15.75" customHeight="1">
      <c r="A94" s="6"/>
      <c r="B94" s="6"/>
      <c r="C94" s="6"/>
      <c r="D94" s="6"/>
      <c r="E94" s="6"/>
      <c r="F94" s="6"/>
      <c r="G94" s="6"/>
      <c r="H94" s="6"/>
      <c r="I94" s="6"/>
      <c r="J94" s="4"/>
      <c r="K94" s="4"/>
      <c r="L94" s="6"/>
      <c r="M94" s="4"/>
    </row>
    <row r="95" ht="15.75" customHeight="1">
      <c r="A95" s="6"/>
      <c r="B95" s="6"/>
      <c r="C95" s="6"/>
      <c r="D95" s="6"/>
      <c r="E95" s="6"/>
      <c r="F95" s="6"/>
      <c r="G95" s="6"/>
      <c r="H95" s="6"/>
      <c r="I95" s="6"/>
      <c r="J95" s="4"/>
      <c r="K95" s="4"/>
      <c r="L95" s="6"/>
      <c r="M95" s="4"/>
    </row>
    <row r="96" ht="15.75" customHeight="1">
      <c r="A96" s="6"/>
      <c r="B96" s="6"/>
      <c r="C96" s="6"/>
      <c r="D96" s="6"/>
      <c r="E96" s="6"/>
      <c r="F96" s="6"/>
      <c r="G96" s="6"/>
      <c r="H96" s="6"/>
      <c r="I96" s="6"/>
      <c r="J96" s="4"/>
      <c r="K96" s="4"/>
      <c r="L96" s="6"/>
      <c r="M96" s="4"/>
    </row>
    <row r="97" ht="15.75" customHeight="1">
      <c r="A97" s="6"/>
      <c r="B97" s="6"/>
      <c r="C97" s="6"/>
      <c r="D97" s="6"/>
      <c r="E97" s="6"/>
      <c r="F97" s="6"/>
      <c r="G97" s="6"/>
      <c r="H97" s="6"/>
      <c r="I97" s="6"/>
      <c r="J97" s="4"/>
      <c r="K97" s="4"/>
      <c r="L97" s="6"/>
      <c r="M97" s="4"/>
    </row>
    <row r="98" ht="15.75" customHeight="1">
      <c r="A98" s="6"/>
      <c r="B98" s="6"/>
      <c r="C98" s="6"/>
      <c r="D98" s="6"/>
      <c r="E98" s="6"/>
      <c r="F98" s="6"/>
      <c r="G98" s="6"/>
      <c r="H98" s="6"/>
      <c r="I98" s="6"/>
      <c r="J98" s="4"/>
      <c r="K98" s="4"/>
      <c r="L98" s="6"/>
      <c r="M98" s="4"/>
    </row>
    <row r="99" ht="15.75" customHeight="1">
      <c r="A99" s="6"/>
      <c r="B99" s="6"/>
      <c r="C99" s="6"/>
      <c r="D99" s="6"/>
      <c r="E99" s="6"/>
      <c r="F99" s="6"/>
      <c r="G99" s="6"/>
      <c r="H99" s="6"/>
      <c r="I99" s="6"/>
      <c r="J99" s="4"/>
      <c r="K99" s="4"/>
      <c r="L99" s="6"/>
      <c r="M99" s="4"/>
    </row>
    <row r="100" ht="15.75" customHeight="1">
      <c r="A100" s="6"/>
      <c r="B100" s="6"/>
      <c r="C100" s="6"/>
      <c r="D100" s="6"/>
      <c r="E100" s="6"/>
      <c r="F100" s="6"/>
      <c r="G100" s="6"/>
      <c r="H100" s="6"/>
      <c r="I100" s="6"/>
      <c r="J100" s="4"/>
      <c r="K100" s="4"/>
      <c r="L100" s="6"/>
      <c r="M100" s="4"/>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51"/>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46.0"/>
    <col customWidth="1" min="3" max="3" width="16.0"/>
    <col customWidth="1" min="4" max="4" width="34.0"/>
    <col customWidth="1" min="5" max="5" width="14.0"/>
    <col customWidth="1" min="6" max="6" width="8.75"/>
    <col customWidth="1" min="7" max="26" width="14.38"/>
  </cols>
  <sheetData>
    <row r="1">
      <c r="A1" s="2" t="s">
        <v>2</v>
      </c>
    </row>
    <row r="2">
      <c r="A2" s="5"/>
      <c r="B2" s="5"/>
      <c r="C2" s="5"/>
      <c r="D2" s="5"/>
      <c r="E2" s="5"/>
    </row>
    <row r="3">
      <c r="A3" s="9" t="s">
        <v>17</v>
      </c>
      <c r="B3" s="9" t="s">
        <v>34</v>
      </c>
      <c r="C3" s="9" t="s">
        <v>36</v>
      </c>
      <c r="D3" s="9" t="s">
        <v>38</v>
      </c>
      <c r="E3" s="9" t="s">
        <v>39</v>
      </c>
    </row>
    <row r="4" ht="30.0" customHeight="1">
      <c r="A4" s="11" t="s">
        <v>1</v>
      </c>
      <c r="B4" s="11" t="s">
        <v>49</v>
      </c>
      <c r="C4" s="11" t="s">
        <v>51</v>
      </c>
      <c r="D4" s="11" t="s">
        <v>53</v>
      </c>
      <c r="E4" s="11" t="s">
        <v>16</v>
      </c>
    </row>
    <row r="5" ht="30.0" customHeight="1">
      <c r="A5" s="11" t="s">
        <v>4</v>
      </c>
      <c r="B5" s="11" t="s">
        <v>55</v>
      </c>
      <c r="C5" s="11" t="s">
        <v>58</v>
      </c>
      <c r="D5" s="11" t="s">
        <v>60</v>
      </c>
      <c r="E5" s="11" t="s">
        <v>61</v>
      </c>
    </row>
    <row r="6" ht="30.0" customHeight="1">
      <c r="A6" s="11" t="s">
        <v>5</v>
      </c>
      <c r="B6" s="11" t="s">
        <v>62</v>
      </c>
      <c r="C6" s="11" t="s">
        <v>63</v>
      </c>
      <c r="D6" s="11" t="s">
        <v>65</v>
      </c>
      <c r="E6" s="11" t="s">
        <v>19</v>
      </c>
    </row>
    <row r="7" ht="30.0" customHeight="1">
      <c r="A7" s="11" t="s">
        <v>6</v>
      </c>
      <c r="B7" s="11" t="s">
        <v>68</v>
      </c>
      <c r="C7" s="11" t="s">
        <v>63</v>
      </c>
      <c r="D7" s="11" t="s">
        <v>70</v>
      </c>
      <c r="E7" s="11" t="s">
        <v>20</v>
      </c>
    </row>
    <row r="8" ht="30.0" customHeight="1">
      <c r="A8" s="11" t="s">
        <v>7</v>
      </c>
      <c r="B8" s="11" t="s">
        <v>72</v>
      </c>
      <c r="C8" s="11" t="s">
        <v>63</v>
      </c>
      <c r="D8" s="11" t="s">
        <v>73</v>
      </c>
      <c r="E8" s="11" t="s">
        <v>21</v>
      </c>
    </row>
    <row r="9" ht="30.0" customHeight="1">
      <c r="A9" s="11" t="s">
        <v>8</v>
      </c>
      <c r="B9" s="11" t="s">
        <v>76</v>
      </c>
      <c r="C9" s="11" t="s">
        <v>58</v>
      </c>
      <c r="D9" s="11" t="s">
        <v>78</v>
      </c>
      <c r="E9" s="11" t="s">
        <v>79</v>
      </c>
    </row>
    <row r="10" ht="30.0" customHeight="1">
      <c r="A10" s="11" t="s">
        <v>9</v>
      </c>
      <c r="B10" s="11" t="s">
        <v>82</v>
      </c>
      <c r="C10" s="11" t="s">
        <v>84</v>
      </c>
      <c r="D10" s="11" t="s">
        <v>85</v>
      </c>
      <c r="E10" s="11" t="s">
        <v>86</v>
      </c>
    </row>
    <row r="11" ht="30.0" customHeight="1">
      <c r="A11" s="11" t="s">
        <v>10</v>
      </c>
      <c r="B11" s="11" t="s">
        <v>88</v>
      </c>
      <c r="C11" s="11" t="s">
        <v>89</v>
      </c>
      <c r="D11" s="11" t="s">
        <v>90</v>
      </c>
      <c r="E11" s="11" t="s">
        <v>22</v>
      </c>
    </row>
    <row r="12" ht="30.0" customHeight="1">
      <c r="A12" s="11" t="s">
        <v>11</v>
      </c>
      <c r="B12" s="11" t="s">
        <v>96</v>
      </c>
      <c r="C12" s="11" t="s">
        <v>63</v>
      </c>
      <c r="D12" s="11" t="s">
        <v>99</v>
      </c>
      <c r="E12" s="11" t="s">
        <v>23</v>
      </c>
    </row>
    <row r="13" ht="30.0" customHeight="1">
      <c r="A13" s="11" t="s">
        <v>12</v>
      </c>
      <c r="B13" s="11" t="s">
        <v>102</v>
      </c>
      <c r="C13" s="11" t="s">
        <v>84</v>
      </c>
      <c r="D13" s="11" t="s">
        <v>105</v>
      </c>
      <c r="E13" s="11" t="s">
        <v>107</v>
      </c>
    </row>
    <row r="14">
      <c r="A14" s="5"/>
      <c r="B14" s="5"/>
      <c r="C14" s="5"/>
      <c r="D14" s="5"/>
      <c r="E14" s="5"/>
    </row>
    <row r="15">
      <c r="A15" s="5"/>
      <c r="B15" s="5"/>
      <c r="C15" s="5"/>
      <c r="D15" s="5"/>
      <c r="E15" s="5"/>
    </row>
    <row r="16">
      <c r="A16" s="5"/>
      <c r="B16" s="5"/>
      <c r="C16" s="5"/>
      <c r="D16" s="5"/>
      <c r="E16" s="5"/>
    </row>
    <row r="17">
      <c r="A17" s="5"/>
      <c r="B17" s="5"/>
      <c r="C17" s="5"/>
      <c r="D17" s="5"/>
      <c r="E17" s="5"/>
    </row>
    <row r="18">
      <c r="A18" s="5"/>
      <c r="B18" s="5"/>
      <c r="C18" s="5"/>
      <c r="D18" s="5"/>
      <c r="E18" s="5"/>
    </row>
    <row r="19">
      <c r="A19" s="5"/>
      <c r="B19" s="5"/>
      <c r="C19" s="5"/>
      <c r="D19" s="5"/>
      <c r="E19" s="5"/>
    </row>
    <row r="20">
      <c r="A20" s="5"/>
      <c r="B20" s="5"/>
      <c r="C20" s="5"/>
      <c r="D20" s="5"/>
      <c r="E20" s="5"/>
    </row>
    <row r="21" ht="15.75" customHeight="1">
      <c r="A21" s="5"/>
      <c r="B21" s="5"/>
      <c r="C21" s="5"/>
      <c r="D21" s="5"/>
      <c r="E21" s="5"/>
    </row>
    <row r="22" ht="15.75" customHeight="1">
      <c r="A22" s="5"/>
      <c r="B22" s="5"/>
      <c r="C22" s="5"/>
      <c r="D22" s="5"/>
      <c r="E22" s="5"/>
    </row>
    <row r="23" ht="15.75" customHeight="1">
      <c r="A23" s="5"/>
      <c r="B23" s="5"/>
      <c r="C23" s="5"/>
      <c r="D23" s="5"/>
      <c r="E23" s="5"/>
    </row>
    <row r="24" ht="15.75" customHeight="1">
      <c r="A24" s="5"/>
      <c r="B24" s="5"/>
      <c r="C24" s="5"/>
      <c r="D24" s="5"/>
      <c r="E24" s="5"/>
    </row>
    <row r="25" ht="15.75" customHeight="1">
      <c r="A25" s="5"/>
      <c r="B25" s="5"/>
      <c r="C25" s="5"/>
      <c r="D25" s="5"/>
      <c r="E25" s="5"/>
    </row>
    <row r="26" ht="15.75" customHeight="1">
      <c r="A26" s="5"/>
      <c r="B26" s="5"/>
      <c r="C26" s="5"/>
      <c r="D26" s="5"/>
      <c r="E26" s="5"/>
    </row>
    <row r="27" ht="15.75" customHeight="1">
      <c r="A27" s="5"/>
      <c r="B27" s="5"/>
      <c r="C27" s="5"/>
      <c r="D27" s="5"/>
      <c r="E27" s="5"/>
    </row>
    <row r="28" ht="15.75" customHeight="1">
      <c r="A28" s="5"/>
      <c r="B28" s="5"/>
      <c r="C28" s="5"/>
      <c r="D28" s="5"/>
      <c r="E28" s="5"/>
    </row>
    <row r="29" ht="15.75" customHeight="1">
      <c r="A29" s="5"/>
      <c r="B29" s="5"/>
      <c r="C29" s="5"/>
      <c r="D29" s="5"/>
      <c r="E29" s="5"/>
    </row>
    <row r="30" ht="15.75" customHeight="1">
      <c r="A30" s="5"/>
      <c r="B30" s="5"/>
      <c r="C30" s="5"/>
      <c r="D30" s="5"/>
      <c r="E30" s="5"/>
    </row>
    <row r="31" ht="15.75" customHeight="1">
      <c r="A31" s="5"/>
      <c r="B31" s="5"/>
      <c r="C31" s="5"/>
      <c r="D31" s="5"/>
      <c r="E31" s="5"/>
    </row>
    <row r="32" ht="15.75" customHeight="1">
      <c r="A32" s="5"/>
      <c r="B32" s="5"/>
      <c r="C32" s="5"/>
      <c r="D32" s="5"/>
      <c r="E32" s="5"/>
    </row>
    <row r="33" ht="15.75" customHeight="1">
      <c r="A33" s="5"/>
      <c r="B33" s="5"/>
      <c r="C33" s="5"/>
      <c r="D33" s="5"/>
      <c r="E33" s="5"/>
    </row>
    <row r="34" ht="15.75" customHeight="1">
      <c r="A34" s="5"/>
      <c r="B34" s="5"/>
      <c r="C34" s="5"/>
      <c r="D34" s="5"/>
      <c r="E34" s="5"/>
    </row>
    <row r="35" ht="15.75" customHeight="1">
      <c r="A35" s="5"/>
      <c r="B35" s="5"/>
      <c r="C35" s="5"/>
      <c r="D35" s="5"/>
      <c r="E35" s="5"/>
    </row>
    <row r="36" ht="15.75" customHeight="1">
      <c r="A36" s="5"/>
      <c r="B36" s="5"/>
      <c r="C36" s="5"/>
      <c r="D36" s="5"/>
      <c r="E36" s="5"/>
    </row>
    <row r="37" ht="15.75" customHeight="1">
      <c r="A37" s="5"/>
      <c r="B37" s="5"/>
      <c r="C37" s="5"/>
      <c r="D37" s="5"/>
      <c r="E37" s="5"/>
    </row>
    <row r="38" ht="15.75" customHeight="1">
      <c r="A38" s="5"/>
      <c r="B38" s="5"/>
      <c r="C38" s="5"/>
      <c r="D38" s="5"/>
      <c r="E38" s="5"/>
    </row>
    <row r="39" ht="15.75" customHeight="1">
      <c r="A39" s="5"/>
      <c r="B39" s="5"/>
      <c r="C39" s="5"/>
      <c r="D39" s="5"/>
      <c r="E39" s="5"/>
    </row>
    <row r="40" ht="15.75" customHeight="1">
      <c r="A40" s="5"/>
      <c r="B40" s="5"/>
      <c r="C40" s="5"/>
      <c r="D40" s="5"/>
      <c r="E40" s="5"/>
    </row>
    <row r="41" ht="15.75" customHeight="1">
      <c r="A41" s="5"/>
      <c r="B41" s="5"/>
      <c r="C41" s="5"/>
      <c r="D41" s="5"/>
      <c r="E41" s="5"/>
    </row>
    <row r="42" ht="15.75" customHeight="1">
      <c r="A42" s="5"/>
      <c r="B42" s="5"/>
      <c r="C42" s="5"/>
      <c r="D42" s="5"/>
      <c r="E42" s="5"/>
    </row>
    <row r="43" ht="15.75" customHeight="1">
      <c r="A43" s="5"/>
      <c r="B43" s="5"/>
      <c r="C43" s="5"/>
      <c r="D43" s="5"/>
      <c r="E43" s="5"/>
    </row>
    <row r="44" ht="15.75" customHeight="1">
      <c r="A44" s="5"/>
      <c r="B44" s="5"/>
      <c r="C44" s="5"/>
      <c r="D44" s="5"/>
      <c r="E44" s="5"/>
    </row>
    <row r="45" ht="15.75" customHeight="1">
      <c r="A45" s="5"/>
      <c r="B45" s="5"/>
      <c r="C45" s="5"/>
      <c r="D45" s="5"/>
      <c r="E45" s="5"/>
    </row>
    <row r="46" ht="15.75" customHeight="1">
      <c r="A46" s="5"/>
      <c r="B46" s="5"/>
      <c r="C46" s="5"/>
      <c r="D46" s="5"/>
      <c r="E46" s="5"/>
    </row>
    <row r="47" ht="15.75" customHeight="1">
      <c r="A47" s="5"/>
      <c r="B47" s="5"/>
      <c r="C47" s="5"/>
      <c r="D47" s="5"/>
      <c r="E47" s="5"/>
    </row>
    <row r="48" ht="15.75" customHeight="1">
      <c r="A48" s="5"/>
      <c r="B48" s="5"/>
      <c r="C48" s="5"/>
      <c r="D48" s="5"/>
      <c r="E48" s="5"/>
    </row>
    <row r="49" ht="15.75" customHeight="1">
      <c r="A49" s="5"/>
      <c r="B49" s="5"/>
      <c r="C49" s="5"/>
      <c r="D49" s="5"/>
      <c r="E49" s="5"/>
    </row>
    <row r="50" ht="15.75" customHeight="1">
      <c r="A50" s="5"/>
      <c r="B50" s="5"/>
      <c r="C50" s="5"/>
      <c r="D50" s="5"/>
      <c r="E50" s="5"/>
    </row>
    <row r="51" ht="15.75" customHeight="1">
      <c r="A51" s="5"/>
      <c r="B51" s="5"/>
      <c r="C51" s="5"/>
      <c r="D51" s="5"/>
      <c r="E51" s="5"/>
    </row>
    <row r="52" ht="15.75" customHeight="1">
      <c r="A52" s="5"/>
      <c r="B52" s="5"/>
      <c r="C52" s="5"/>
      <c r="D52" s="5"/>
      <c r="E52" s="5"/>
    </row>
    <row r="53" ht="15.75" customHeight="1">
      <c r="A53" s="5"/>
      <c r="B53" s="5"/>
      <c r="C53" s="5"/>
      <c r="D53" s="5"/>
      <c r="E53" s="5"/>
    </row>
    <row r="54" ht="15.75" customHeight="1">
      <c r="A54" s="5"/>
      <c r="B54" s="5"/>
      <c r="C54" s="5"/>
      <c r="D54" s="5"/>
      <c r="E54" s="5"/>
    </row>
    <row r="55" ht="15.75" customHeight="1">
      <c r="A55" s="5"/>
      <c r="B55" s="5"/>
      <c r="C55" s="5"/>
      <c r="D55" s="5"/>
      <c r="E55" s="5"/>
    </row>
    <row r="56" ht="15.75" customHeight="1">
      <c r="A56" s="5"/>
      <c r="B56" s="5"/>
      <c r="C56" s="5"/>
      <c r="D56" s="5"/>
      <c r="E56" s="5"/>
    </row>
    <row r="57" ht="15.75" customHeight="1">
      <c r="A57" s="5"/>
      <c r="B57" s="5"/>
      <c r="C57" s="5"/>
      <c r="D57" s="5"/>
      <c r="E57" s="5"/>
    </row>
    <row r="58" ht="15.75" customHeight="1">
      <c r="A58" s="5"/>
      <c r="B58" s="5"/>
      <c r="C58" s="5"/>
      <c r="D58" s="5"/>
      <c r="E58" s="5"/>
    </row>
    <row r="59" ht="15.75" customHeight="1">
      <c r="A59" s="5"/>
      <c r="B59" s="5"/>
      <c r="C59" s="5"/>
      <c r="D59" s="5"/>
      <c r="E59" s="5"/>
    </row>
    <row r="60" ht="15.75" customHeight="1">
      <c r="A60" s="5"/>
      <c r="B60" s="5"/>
      <c r="C60" s="5"/>
      <c r="D60" s="5"/>
      <c r="E60" s="5"/>
    </row>
    <row r="61" ht="15.75" customHeight="1">
      <c r="A61" s="5"/>
      <c r="B61" s="5"/>
      <c r="C61" s="5"/>
      <c r="D61" s="5"/>
      <c r="E61" s="5"/>
    </row>
    <row r="62" ht="15.75" customHeight="1">
      <c r="A62" s="5"/>
      <c r="B62" s="5"/>
      <c r="C62" s="5"/>
      <c r="D62" s="5"/>
      <c r="E62" s="5"/>
    </row>
    <row r="63" ht="15.75" customHeight="1">
      <c r="A63" s="5"/>
      <c r="B63" s="5"/>
      <c r="C63" s="5"/>
      <c r="D63" s="5"/>
      <c r="E63" s="5"/>
    </row>
    <row r="64" ht="15.75" customHeight="1">
      <c r="A64" s="5"/>
      <c r="B64" s="5"/>
      <c r="C64" s="5"/>
      <c r="D64" s="5"/>
      <c r="E64" s="5"/>
    </row>
    <row r="65" ht="15.75" customHeight="1">
      <c r="A65" s="5"/>
      <c r="B65" s="5"/>
      <c r="C65" s="5"/>
      <c r="D65" s="5"/>
      <c r="E65" s="5"/>
    </row>
    <row r="66" ht="15.75" customHeight="1">
      <c r="A66" s="5"/>
      <c r="B66" s="5"/>
      <c r="C66" s="5"/>
      <c r="D66" s="5"/>
      <c r="E66" s="5"/>
    </row>
    <row r="67" ht="15.75" customHeight="1">
      <c r="A67" s="5"/>
      <c r="B67" s="5"/>
      <c r="C67" s="5"/>
      <c r="D67" s="5"/>
      <c r="E67" s="5"/>
    </row>
    <row r="68" ht="15.75" customHeight="1">
      <c r="A68" s="5"/>
      <c r="B68" s="5"/>
      <c r="C68" s="5"/>
      <c r="D68" s="5"/>
      <c r="E68" s="5"/>
    </row>
    <row r="69" ht="15.75" customHeight="1">
      <c r="A69" s="5"/>
      <c r="B69" s="5"/>
      <c r="C69" s="5"/>
      <c r="D69" s="5"/>
      <c r="E69" s="5"/>
    </row>
    <row r="70" ht="15.75" customHeight="1">
      <c r="A70" s="5"/>
      <c r="B70" s="5"/>
      <c r="C70" s="5"/>
      <c r="D70" s="5"/>
      <c r="E70" s="5"/>
    </row>
    <row r="71" ht="15.75" customHeight="1">
      <c r="A71" s="5"/>
      <c r="B71" s="5"/>
      <c r="C71" s="5"/>
      <c r="D71" s="5"/>
      <c r="E71" s="5"/>
    </row>
    <row r="72" ht="15.75" customHeight="1">
      <c r="A72" s="5"/>
      <c r="B72" s="5"/>
      <c r="C72" s="5"/>
      <c r="D72" s="5"/>
      <c r="E72" s="5"/>
    </row>
    <row r="73" ht="15.75" customHeight="1">
      <c r="A73" s="5"/>
      <c r="B73" s="5"/>
      <c r="C73" s="5"/>
      <c r="D73" s="5"/>
      <c r="E73" s="5"/>
    </row>
    <row r="74" ht="15.75" customHeight="1">
      <c r="A74" s="5"/>
      <c r="B74" s="5"/>
      <c r="C74" s="5"/>
      <c r="D74" s="5"/>
      <c r="E74" s="5"/>
    </row>
    <row r="75" ht="15.75" customHeight="1">
      <c r="A75" s="5"/>
      <c r="B75" s="5"/>
      <c r="C75" s="5"/>
      <c r="D75" s="5"/>
      <c r="E75" s="5"/>
    </row>
    <row r="76" ht="15.75" customHeight="1">
      <c r="A76" s="5"/>
      <c r="B76" s="5"/>
      <c r="C76" s="5"/>
      <c r="D76" s="5"/>
      <c r="E76" s="5"/>
    </row>
    <row r="77" ht="15.75" customHeight="1">
      <c r="A77" s="5"/>
      <c r="B77" s="5"/>
      <c r="C77" s="5"/>
      <c r="D77" s="5"/>
      <c r="E77" s="5"/>
    </row>
    <row r="78" ht="15.75" customHeight="1">
      <c r="A78" s="5"/>
      <c r="B78" s="5"/>
      <c r="C78" s="5"/>
      <c r="D78" s="5"/>
      <c r="E78" s="5"/>
    </row>
    <row r="79" ht="15.75" customHeight="1">
      <c r="A79" s="5"/>
      <c r="B79" s="5"/>
      <c r="C79" s="5"/>
      <c r="D79" s="5"/>
      <c r="E79" s="5"/>
    </row>
    <row r="80" ht="15.75" customHeight="1">
      <c r="A80" s="5"/>
      <c r="B80" s="5"/>
      <c r="C80" s="5"/>
      <c r="D80" s="5"/>
      <c r="E80" s="5"/>
    </row>
    <row r="81" ht="15.75" customHeight="1">
      <c r="A81" s="5"/>
      <c r="B81" s="5"/>
      <c r="C81" s="5"/>
      <c r="D81" s="5"/>
      <c r="E81" s="5"/>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0"/>
    <col customWidth="1" min="2" max="2" width="95.0"/>
    <col customWidth="1" min="3" max="6" width="8.75"/>
    <col customWidth="1" min="7" max="26" width="14.38"/>
  </cols>
  <sheetData>
    <row r="1">
      <c r="A1" s="2" t="s">
        <v>0</v>
      </c>
    </row>
    <row r="2">
      <c r="A2" s="8" t="s">
        <v>13</v>
      </c>
    </row>
    <row r="3">
      <c r="A3" s="5"/>
      <c r="B3" s="5"/>
    </row>
    <row r="4">
      <c r="A4" s="12" t="s">
        <v>37</v>
      </c>
      <c r="B4" s="12" t="s">
        <v>66</v>
      </c>
    </row>
    <row r="5">
      <c r="A5" s="13">
        <v>1.0</v>
      </c>
      <c r="B5" s="11" t="s">
        <v>77</v>
      </c>
    </row>
    <row r="6">
      <c r="A6" s="13">
        <v>2.0</v>
      </c>
      <c r="B6" s="11" t="s">
        <v>83</v>
      </c>
    </row>
    <row r="7">
      <c r="A7" s="13">
        <v>3.0</v>
      </c>
      <c r="B7" s="11" t="s">
        <v>87</v>
      </c>
    </row>
    <row r="8">
      <c r="A8" s="13">
        <v>4.0</v>
      </c>
      <c r="B8" s="11" t="s">
        <v>91</v>
      </c>
    </row>
    <row r="9">
      <c r="A9" s="13">
        <v>5.0</v>
      </c>
      <c r="B9" s="11" t="s">
        <v>93</v>
      </c>
    </row>
    <row r="10">
      <c r="A10" s="13">
        <v>6.0</v>
      </c>
      <c r="B10" s="11" t="s">
        <v>98</v>
      </c>
    </row>
    <row r="11">
      <c r="A11" s="13">
        <v>7.0</v>
      </c>
      <c r="B11" s="11" t="s">
        <v>100</v>
      </c>
    </row>
    <row r="12">
      <c r="A12" s="13">
        <v>8.0</v>
      </c>
      <c r="B12" s="11" t="s">
        <v>104</v>
      </c>
    </row>
    <row r="13">
      <c r="A13" s="13">
        <v>9.0</v>
      </c>
      <c r="B13" s="11" t="s">
        <v>108</v>
      </c>
    </row>
    <row r="14">
      <c r="A14" s="13">
        <v>10.0</v>
      </c>
      <c r="B14" s="11" t="s">
        <v>110</v>
      </c>
    </row>
    <row r="15">
      <c r="A15" s="13">
        <v>11.0</v>
      </c>
      <c r="B15" s="11" t="s">
        <v>112</v>
      </c>
    </row>
    <row r="16">
      <c r="A16" s="13">
        <v>12.0</v>
      </c>
      <c r="B16" s="11" t="s">
        <v>115</v>
      </c>
    </row>
    <row r="17">
      <c r="A17" s="13">
        <v>13.0</v>
      </c>
      <c r="B17" s="11" t="s">
        <v>117</v>
      </c>
    </row>
    <row r="18">
      <c r="A18" s="13">
        <v>14.0</v>
      </c>
      <c r="B18" s="11" t="s">
        <v>120</v>
      </c>
    </row>
    <row r="19">
      <c r="A19" s="13">
        <v>15.0</v>
      </c>
      <c r="B19" s="11" t="s">
        <v>121</v>
      </c>
    </row>
    <row r="20">
      <c r="A20" s="5"/>
      <c r="B20" s="5"/>
    </row>
    <row r="21" ht="15.75" customHeight="1">
      <c r="A21" s="5"/>
      <c r="B21" s="5"/>
    </row>
    <row r="22" ht="15.75" customHeight="1">
      <c r="A22" s="5"/>
      <c r="B22" s="5"/>
    </row>
    <row r="23" ht="15.75" customHeight="1">
      <c r="A23" s="5"/>
      <c r="B23" s="5"/>
    </row>
    <row r="24" ht="15.75" customHeight="1">
      <c r="A24" s="5"/>
      <c r="B24" s="5"/>
    </row>
    <row r="25" ht="15.75" customHeight="1">
      <c r="A25" s="5"/>
      <c r="B25" s="5"/>
    </row>
    <row r="26" ht="15.75" customHeight="1">
      <c r="A26" s="5"/>
      <c r="B26" s="5"/>
    </row>
    <row r="27" ht="15.75" customHeight="1">
      <c r="A27" s="5"/>
      <c r="B27" s="5"/>
    </row>
    <row r="28" ht="15.75" customHeight="1">
      <c r="A28" s="5"/>
      <c r="B28" s="5"/>
    </row>
    <row r="29" ht="15.75" customHeight="1">
      <c r="A29" s="5"/>
      <c r="B29" s="5"/>
    </row>
    <row r="30" ht="15.75" customHeight="1">
      <c r="A30" s="5"/>
      <c r="B30" s="5"/>
    </row>
    <row r="31" ht="15.75" customHeight="1">
      <c r="A31" s="5"/>
      <c r="B31" s="5"/>
    </row>
    <row r="32" ht="15.75" customHeight="1">
      <c r="A32" s="5"/>
      <c r="B32" s="5"/>
    </row>
    <row r="33" ht="15.75" customHeight="1">
      <c r="A33" s="5"/>
      <c r="B33" s="5"/>
    </row>
    <row r="34" ht="15.75" customHeight="1">
      <c r="A34" s="5"/>
      <c r="B34" s="5"/>
    </row>
    <row r="35" ht="15.75" customHeight="1">
      <c r="A35" s="5"/>
      <c r="B35" s="5"/>
    </row>
    <row r="36" ht="15.75" customHeight="1">
      <c r="A36" s="5"/>
      <c r="B36" s="5"/>
    </row>
    <row r="37" ht="15.75" customHeight="1">
      <c r="A37" s="5"/>
      <c r="B37" s="5"/>
    </row>
    <row r="38" ht="15.75" customHeight="1">
      <c r="A38" s="5"/>
      <c r="B38" s="5"/>
    </row>
    <row r="39" ht="15.75" customHeight="1">
      <c r="A39" s="5"/>
      <c r="B39" s="5"/>
    </row>
    <row r="40" ht="15.75" customHeight="1">
      <c r="A40" s="5"/>
      <c r="B40" s="5"/>
    </row>
    <row r="41" ht="15.75" customHeight="1">
      <c r="A41" s="5"/>
      <c r="B41" s="5"/>
    </row>
    <row r="42" ht="15.75" customHeight="1">
      <c r="A42" s="5"/>
      <c r="B42" s="5"/>
    </row>
    <row r="43" ht="15.75" customHeight="1">
      <c r="A43" s="5"/>
      <c r="B43" s="5"/>
    </row>
    <row r="44" ht="15.75" customHeight="1">
      <c r="A44" s="5"/>
      <c r="B44" s="5"/>
    </row>
    <row r="45" ht="15.75" customHeight="1">
      <c r="A45" s="5"/>
      <c r="B45" s="5"/>
    </row>
    <row r="46" ht="15.75" customHeight="1">
      <c r="A46" s="5"/>
      <c r="B46" s="5"/>
    </row>
    <row r="47" ht="15.75" customHeight="1">
      <c r="A47" s="5"/>
      <c r="B47" s="5"/>
    </row>
    <row r="48" ht="15.75" customHeight="1">
      <c r="A48" s="5"/>
      <c r="B48" s="5"/>
    </row>
    <row r="49" ht="15.75" customHeight="1">
      <c r="A49" s="5"/>
      <c r="B49" s="5"/>
    </row>
    <row r="50" ht="15.75" customHeight="1">
      <c r="A50" s="5"/>
      <c r="B50" s="5"/>
    </row>
    <row r="51" ht="15.75" customHeight="1">
      <c r="A51" s="5"/>
      <c r="B51" s="5"/>
    </row>
    <row r="52" ht="15.75" customHeight="1">
      <c r="A52" s="5"/>
      <c r="B52" s="5"/>
    </row>
    <row r="53" ht="15.75" customHeight="1">
      <c r="A53" s="5"/>
      <c r="B53" s="5"/>
    </row>
    <row r="54" ht="15.75" customHeight="1">
      <c r="A54" s="5"/>
      <c r="B54" s="5"/>
    </row>
    <row r="55" ht="15.75" customHeight="1">
      <c r="A55" s="5"/>
      <c r="B55" s="5"/>
    </row>
    <row r="56" ht="15.75" customHeight="1">
      <c r="A56" s="5"/>
      <c r="B56" s="5"/>
    </row>
    <row r="57" ht="15.75" customHeight="1">
      <c r="A57" s="5"/>
      <c r="B57" s="5"/>
    </row>
    <row r="58" ht="15.75" customHeight="1">
      <c r="A58" s="5"/>
      <c r="B58" s="5"/>
    </row>
    <row r="59" ht="15.75" customHeight="1">
      <c r="A59" s="5"/>
      <c r="B59" s="5"/>
    </row>
    <row r="60" ht="15.75" customHeight="1">
      <c r="A60" s="5"/>
      <c r="B60" s="5"/>
    </row>
    <row r="61" ht="15.75" customHeight="1">
      <c r="A61" s="5"/>
      <c r="B61" s="5"/>
    </row>
    <row r="62" ht="15.75" customHeight="1">
      <c r="A62" s="5"/>
      <c r="B62" s="5"/>
    </row>
    <row r="63" ht="15.75" customHeight="1">
      <c r="A63" s="5"/>
      <c r="B63" s="5"/>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B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95.0"/>
    <col customWidth="1" min="3" max="6" width="14.0"/>
    <col customWidth="1" min="7" max="26" width="14.38"/>
  </cols>
  <sheetData>
    <row r="1" ht="15.0" customHeight="1">
      <c r="A1" s="3" t="s">
        <v>3</v>
      </c>
      <c r="B1" s="3" t="s">
        <v>14</v>
      </c>
      <c r="C1" s="4"/>
      <c r="D1" s="4"/>
      <c r="E1" s="4"/>
      <c r="F1" s="4"/>
    </row>
    <row r="2" ht="15.0" customHeight="1">
      <c r="A2" s="7" t="s">
        <v>15</v>
      </c>
      <c r="B2" s="10" t="s">
        <v>18</v>
      </c>
      <c r="C2" s="4"/>
      <c r="D2" s="4"/>
      <c r="E2" s="4"/>
      <c r="F2" s="4"/>
    </row>
    <row r="3" ht="15.0" customHeight="1">
      <c r="A3" s="7" t="s">
        <v>45</v>
      </c>
      <c r="B3" s="10" t="s">
        <v>46</v>
      </c>
      <c r="C3" s="4"/>
      <c r="D3" s="4"/>
      <c r="E3" s="4"/>
      <c r="F3" s="4"/>
    </row>
    <row r="4" ht="45.0" customHeight="1">
      <c r="A4" s="7" t="s">
        <v>52</v>
      </c>
      <c r="B4" s="10" t="s">
        <v>54</v>
      </c>
      <c r="C4" s="4"/>
      <c r="D4" s="4"/>
      <c r="E4" s="4"/>
      <c r="F4" s="4"/>
    </row>
    <row r="5" ht="45.0" customHeight="1">
      <c r="A5" s="7" t="s">
        <v>57</v>
      </c>
      <c r="B5" s="10" t="s">
        <v>59</v>
      </c>
      <c r="C5" s="4"/>
      <c r="D5" s="4"/>
      <c r="E5" s="4"/>
      <c r="F5" s="4"/>
    </row>
    <row r="6" ht="45.0" customHeight="1">
      <c r="A6" s="7" t="s">
        <v>64</v>
      </c>
      <c r="B6" s="10" t="s">
        <v>67</v>
      </c>
      <c r="C6" s="4"/>
      <c r="D6" s="4"/>
      <c r="E6" s="4"/>
      <c r="F6" s="4"/>
    </row>
    <row r="7" ht="45.0" customHeight="1">
      <c r="A7" s="7" t="s">
        <v>69</v>
      </c>
      <c r="B7" s="10" t="s">
        <v>71</v>
      </c>
      <c r="C7" s="4"/>
      <c r="D7" s="4"/>
      <c r="E7" s="4"/>
      <c r="F7" s="4"/>
    </row>
    <row r="8" ht="45.0" customHeight="1">
      <c r="A8" s="7" t="s">
        <v>74</v>
      </c>
      <c r="B8" s="10" t="s">
        <v>75</v>
      </c>
      <c r="C8" s="4"/>
      <c r="D8" s="4"/>
      <c r="E8" s="4"/>
      <c r="F8" s="4"/>
    </row>
    <row r="9" ht="45.0" customHeight="1">
      <c r="A9" s="7" t="s">
        <v>80</v>
      </c>
      <c r="B9" s="10" t="s">
        <v>81</v>
      </c>
      <c r="C9" s="4"/>
      <c r="D9" s="4"/>
      <c r="E9" s="4"/>
      <c r="F9" s="4"/>
    </row>
    <row r="10" ht="45.0" customHeight="1">
      <c r="A10" s="7" t="s">
        <v>94</v>
      </c>
      <c r="B10" s="10" t="s">
        <v>97</v>
      </c>
      <c r="C10" s="4"/>
      <c r="D10" s="4"/>
      <c r="E10" s="4"/>
      <c r="F10" s="4"/>
    </row>
    <row r="11" ht="45.0" customHeight="1">
      <c r="A11" s="7" t="s">
        <v>101</v>
      </c>
      <c r="B11" s="10" t="s">
        <v>106</v>
      </c>
      <c r="C11" s="4"/>
      <c r="D11" s="4"/>
      <c r="E11" s="4"/>
      <c r="F11" s="4"/>
    </row>
    <row r="12" ht="52.5" customHeight="1">
      <c r="A12" s="7" t="s">
        <v>109</v>
      </c>
      <c r="B12" s="10" t="s">
        <v>111</v>
      </c>
      <c r="C12" s="4"/>
      <c r="D12" s="4"/>
      <c r="E12" s="4"/>
      <c r="F12" s="4"/>
    </row>
    <row r="13" ht="45.0" customHeight="1">
      <c r="A13" s="7" t="s">
        <v>113</v>
      </c>
      <c r="B13" s="10" t="s">
        <v>114</v>
      </c>
      <c r="C13" s="4"/>
      <c r="D13" s="4"/>
      <c r="E13" s="4"/>
      <c r="F13" s="4"/>
    </row>
    <row r="14" ht="45.0" customHeight="1">
      <c r="A14" s="7" t="s">
        <v>116</v>
      </c>
      <c r="B14" s="10" t="s">
        <v>118</v>
      </c>
      <c r="C14" s="4"/>
      <c r="D14" s="4"/>
      <c r="E14" s="4"/>
      <c r="F14" s="4"/>
    </row>
    <row r="15" ht="57.0" customHeight="1">
      <c r="A15" s="7" t="s">
        <v>122</v>
      </c>
      <c r="B15" s="10" t="s">
        <v>124</v>
      </c>
      <c r="C15" s="4"/>
      <c r="D15" s="4"/>
      <c r="E15" s="4"/>
      <c r="F15" s="4"/>
    </row>
    <row r="16" ht="65.25" customHeight="1">
      <c r="A16" s="7" t="s">
        <v>125</v>
      </c>
      <c r="B16" s="10" t="s">
        <v>126</v>
      </c>
      <c r="C16" s="4"/>
      <c r="D16" s="4"/>
      <c r="E16" s="4"/>
      <c r="F16" s="4"/>
    </row>
    <row r="17" ht="15.0" customHeight="1">
      <c r="A17" s="6"/>
      <c r="B17" s="6"/>
      <c r="C17" s="4"/>
      <c r="D17" s="4"/>
      <c r="E17" s="4"/>
      <c r="F17" s="4"/>
    </row>
    <row r="18" ht="15.0" customHeight="1">
      <c r="A18" s="6"/>
      <c r="B18" s="6"/>
      <c r="C18" s="4"/>
      <c r="D18" s="4"/>
      <c r="E18" s="4"/>
      <c r="F18" s="4"/>
    </row>
    <row r="19" ht="15.0" customHeight="1">
      <c r="A19" s="6"/>
      <c r="B19" s="6"/>
      <c r="C19" s="4"/>
      <c r="D19" s="4"/>
      <c r="E19" s="4"/>
      <c r="F19" s="4"/>
    </row>
    <row r="20" ht="15.0" customHeight="1">
      <c r="A20" s="6"/>
      <c r="B20" s="6"/>
      <c r="C20" s="4"/>
      <c r="D20" s="4"/>
      <c r="E20" s="4"/>
      <c r="F20" s="4"/>
    </row>
    <row r="21" ht="15.75" customHeight="1">
      <c r="A21" s="6"/>
      <c r="B21" s="6"/>
      <c r="C21" s="4"/>
      <c r="D21" s="4"/>
      <c r="E21" s="4"/>
      <c r="F21" s="4"/>
    </row>
    <row r="22" ht="15.75" customHeight="1">
      <c r="A22" s="6"/>
      <c r="B22" s="6"/>
      <c r="C22" s="4"/>
      <c r="D22" s="4"/>
      <c r="E22" s="4"/>
      <c r="F22" s="4"/>
    </row>
    <row r="23" ht="15.75" customHeight="1">
      <c r="A23" s="6"/>
      <c r="B23" s="6"/>
      <c r="C23" s="4"/>
      <c r="D23" s="4"/>
      <c r="E23" s="4"/>
      <c r="F23" s="4"/>
    </row>
    <row r="24" ht="15.75" customHeight="1">
      <c r="A24" s="6"/>
      <c r="B24" s="6"/>
      <c r="C24" s="4"/>
      <c r="D24" s="4"/>
      <c r="E24" s="4"/>
      <c r="F24" s="4"/>
    </row>
    <row r="25" ht="15.75" customHeight="1">
      <c r="A25" s="6"/>
      <c r="B25" s="6"/>
      <c r="C25" s="4"/>
      <c r="D25" s="4"/>
      <c r="E25" s="4"/>
      <c r="F25" s="4"/>
    </row>
    <row r="26" ht="15.75" customHeight="1">
      <c r="A26" s="6"/>
      <c r="B26" s="6"/>
      <c r="C26" s="4"/>
      <c r="D26" s="4"/>
      <c r="E26" s="4"/>
      <c r="F26" s="4"/>
    </row>
    <row r="27" ht="15.75" customHeight="1">
      <c r="A27" s="6"/>
      <c r="B27" s="6"/>
      <c r="C27" s="4"/>
      <c r="D27" s="4"/>
      <c r="E27" s="4"/>
      <c r="F27" s="4"/>
    </row>
    <row r="28" ht="15.75" customHeight="1">
      <c r="A28" s="6"/>
      <c r="B28" s="6"/>
      <c r="C28" s="4"/>
      <c r="D28" s="4"/>
      <c r="E28" s="4"/>
      <c r="F28" s="4"/>
    </row>
    <row r="29" ht="15.75" customHeight="1">
      <c r="A29" s="6"/>
      <c r="B29" s="6"/>
      <c r="C29" s="4"/>
      <c r="D29" s="4"/>
      <c r="E29" s="4"/>
      <c r="F29" s="4"/>
    </row>
    <row r="30" ht="15.75" customHeight="1">
      <c r="A30" s="6"/>
      <c r="B30" s="6"/>
      <c r="C30" s="4"/>
      <c r="D30" s="4"/>
      <c r="E30" s="4"/>
      <c r="F30" s="4"/>
    </row>
    <row r="31" ht="15.75" customHeight="1">
      <c r="A31" s="6"/>
      <c r="B31" s="6"/>
      <c r="C31" s="4"/>
      <c r="D31" s="4"/>
      <c r="E31" s="4"/>
      <c r="F31" s="4"/>
    </row>
    <row r="32" ht="15.75" customHeight="1">
      <c r="A32" s="6"/>
      <c r="B32" s="6"/>
      <c r="C32" s="4"/>
      <c r="D32" s="4"/>
      <c r="E32" s="4"/>
      <c r="F32" s="4"/>
    </row>
    <row r="33" ht="15.75" customHeight="1">
      <c r="A33" s="6"/>
      <c r="B33" s="6"/>
      <c r="C33" s="4"/>
      <c r="D33" s="4"/>
      <c r="E33" s="4"/>
      <c r="F33" s="4"/>
    </row>
    <row r="34" ht="15.75" customHeight="1">
      <c r="A34" s="6"/>
      <c r="B34" s="6"/>
      <c r="C34" s="4"/>
      <c r="D34" s="4"/>
      <c r="E34" s="4"/>
      <c r="F34" s="4"/>
    </row>
    <row r="35" ht="15.75" customHeight="1">
      <c r="A35" s="6"/>
      <c r="B35" s="6"/>
      <c r="C35" s="4"/>
      <c r="D35" s="4"/>
      <c r="E35" s="4"/>
      <c r="F35" s="4"/>
    </row>
    <row r="36" ht="15.75" customHeight="1">
      <c r="A36" s="6"/>
      <c r="B36" s="6"/>
      <c r="C36" s="4"/>
      <c r="D36" s="4"/>
      <c r="E36" s="4"/>
      <c r="F36" s="4"/>
    </row>
    <row r="37" ht="15.75" customHeight="1">
      <c r="A37" s="6"/>
      <c r="B37" s="6"/>
      <c r="C37" s="4"/>
      <c r="D37" s="4"/>
      <c r="E37" s="4"/>
      <c r="F37" s="4"/>
    </row>
    <row r="38" ht="15.75" customHeight="1">
      <c r="A38" s="6"/>
      <c r="B38" s="6"/>
      <c r="C38" s="4"/>
      <c r="D38" s="4"/>
      <c r="E38" s="4"/>
      <c r="F38" s="4"/>
    </row>
    <row r="39" ht="15.75" customHeight="1">
      <c r="A39" s="6"/>
      <c r="B39" s="6"/>
      <c r="C39" s="4"/>
      <c r="D39" s="4"/>
      <c r="E39" s="4"/>
      <c r="F39" s="4"/>
    </row>
    <row r="40" ht="15.75" customHeight="1">
      <c r="A40" s="6"/>
      <c r="B40" s="6"/>
      <c r="C40" s="4"/>
      <c r="D40" s="4"/>
      <c r="E40" s="4"/>
      <c r="F40" s="4"/>
    </row>
    <row r="41" ht="15.75" customHeight="1">
      <c r="A41" s="6"/>
      <c r="B41" s="6"/>
      <c r="C41" s="4"/>
      <c r="D41" s="4"/>
      <c r="E41" s="4"/>
      <c r="F41" s="4"/>
    </row>
    <row r="42" ht="15.75" customHeight="1">
      <c r="A42" s="6"/>
      <c r="B42" s="6"/>
      <c r="C42" s="4"/>
      <c r="D42" s="4"/>
      <c r="E42" s="4"/>
      <c r="F42" s="4"/>
    </row>
    <row r="43" ht="15.75" customHeight="1">
      <c r="A43" s="6"/>
      <c r="B43" s="6"/>
      <c r="C43" s="4"/>
      <c r="D43" s="4"/>
      <c r="E43" s="4"/>
      <c r="F43" s="4"/>
    </row>
    <row r="44" ht="15.75" customHeight="1">
      <c r="A44" s="6"/>
      <c r="B44" s="6"/>
      <c r="C44" s="4"/>
      <c r="D44" s="4"/>
      <c r="E44" s="4"/>
      <c r="F44" s="4"/>
    </row>
    <row r="45" ht="15.75" customHeight="1">
      <c r="A45" s="6"/>
      <c r="B45" s="6"/>
      <c r="C45" s="4"/>
      <c r="D45" s="4"/>
      <c r="E45" s="4"/>
      <c r="F45" s="4"/>
    </row>
    <row r="46" ht="15.75" customHeight="1">
      <c r="A46" s="6"/>
      <c r="B46" s="6"/>
      <c r="C46" s="4"/>
      <c r="D46" s="4"/>
      <c r="E46" s="4"/>
      <c r="F46" s="4"/>
    </row>
    <row r="47" ht="15.75" customHeight="1">
      <c r="A47" s="6"/>
      <c r="B47" s="6"/>
      <c r="C47" s="4"/>
      <c r="D47" s="4"/>
      <c r="E47" s="4"/>
      <c r="F47" s="4"/>
    </row>
    <row r="48" ht="15.75" customHeight="1">
      <c r="A48" s="6"/>
      <c r="B48" s="6"/>
      <c r="C48" s="4"/>
      <c r="D48" s="4"/>
      <c r="E48" s="4"/>
      <c r="F48" s="4"/>
    </row>
    <row r="49" ht="15.75" customHeight="1">
      <c r="A49" s="6"/>
      <c r="B49" s="6"/>
      <c r="C49" s="4"/>
      <c r="D49" s="4"/>
      <c r="E49" s="4"/>
      <c r="F49" s="4"/>
    </row>
    <row r="50" ht="15.75" customHeight="1">
      <c r="A50" s="6"/>
      <c r="B50" s="6"/>
      <c r="C50" s="4"/>
      <c r="D50" s="4"/>
      <c r="E50" s="4"/>
      <c r="F50" s="4"/>
    </row>
    <row r="51" ht="15.75" customHeight="1">
      <c r="A51" s="6"/>
      <c r="B51" s="6"/>
      <c r="C51" s="4"/>
      <c r="D51" s="4"/>
      <c r="E51" s="4"/>
      <c r="F51" s="4"/>
    </row>
    <row r="52" ht="15.75" customHeight="1">
      <c r="A52" s="6"/>
      <c r="B52" s="6"/>
      <c r="C52" s="4"/>
      <c r="D52" s="4"/>
      <c r="E52" s="4"/>
      <c r="F52" s="4"/>
    </row>
    <row r="53" ht="15.75" customHeight="1">
      <c r="A53" s="6"/>
      <c r="B53" s="6"/>
      <c r="C53" s="4"/>
      <c r="D53" s="4"/>
      <c r="E53" s="4"/>
      <c r="F53" s="4"/>
    </row>
    <row r="54" ht="15.75" customHeight="1">
      <c r="A54" s="6"/>
      <c r="B54" s="6"/>
      <c r="C54" s="4"/>
      <c r="D54" s="4"/>
      <c r="E54" s="4"/>
      <c r="F54" s="4"/>
    </row>
    <row r="55" ht="15.75" customHeight="1">
      <c r="A55" s="6"/>
      <c r="B55" s="6"/>
      <c r="C55" s="4"/>
      <c r="D55" s="4"/>
      <c r="E55" s="4"/>
      <c r="F55" s="4"/>
    </row>
    <row r="56" ht="15.75" customHeight="1">
      <c r="A56" s="6"/>
      <c r="B56" s="6"/>
      <c r="C56" s="4"/>
      <c r="D56" s="4"/>
      <c r="E56" s="4"/>
      <c r="F56" s="4"/>
    </row>
    <row r="57" ht="15.75" customHeight="1">
      <c r="A57" s="6"/>
      <c r="B57" s="6"/>
      <c r="C57" s="4"/>
      <c r="D57" s="4"/>
      <c r="E57" s="4"/>
      <c r="F57" s="4"/>
    </row>
    <row r="58" ht="15.75" customHeight="1">
      <c r="A58" s="6"/>
      <c r="B58" s="6"/>
      <c r="C58" s="4"/>
      <c r="D58" s="4"/>
      <c r="E58" s="4"/>
      <c r="F58" s="4"/>
    </row>
    <row r="59" ht="15.75" customHeight="1">
      <c r="A59" s="6"/>
      <c r="B59" s="6"/>
      <c r="C59" s="4"/>
      <c r="D59" s="4"/>
      <c r="E59" s="4"/>
      <c r="F59" s="4"/>
    </row>
    <row r="60" ht="15.75" customHeight="1">
      <c r="A60" s="6"/>
      <c r="B60" s="6"/>
      <c r="C60" s="4"/>
      <c r="D60" s="4"/>
      <c r="E60" s="4"/>
      <c r="F60" s="4"/>
    </row>
    <row r="61" ht="15.75" customHeight="1">
      <c r="A61" s="6"/>
      <c r="B61" s="6"/>
      <c r="C61" s="4"/>
      <c r="D61" s="4"/>
      <c r="E61" s="4"/>
      <c r="F61" s="4"/>
    </row>
    <row r="62" ht="15.75" customHeight="1">
      <c r="A62" s="6"/>
      <c r="B62" s="6"/>
      <c r="C62" s="4"/>
      <c r="D62" s="4"/>
      <c r="E62" s="4"/>
      <c r="F62" s="4"/>
    </row>
    <row r="63" ht="15.75" customHeight="1">
      <c r="A63" s="6"/>
      <c r="B63" s="6"/>
      <c r="C63" s="4"/>
      <c r="D63" s="4"/>
      <c r="E63" s="4"/>
      <c r="F63" s="4"/>
    </row>
    <row r="64" ht="15.75" customHeight="1">
      <c r="A64" s="6"/>
      <c r="B64" s="6"/>
      <c r="C64" s="4"/>
      <c r="D64" s="4"/>
      <c r="E64" s="4"/>
      <c r="F64" s="4"/>
    </row>
    <row r="65" ht="15.75" customHeight="1">
      <c r="A65" s="6"/>
      <c r="B65" s="6"/>
      <c r="C65" s="4"/>
      <c r="D65" s="4"/>
      <c r="E65" s="4"/>
      <c r="F65" s="4"/>
    </row>
    <row r="66" ht="15.75" customHeight="1">
      <c r="A66" s="6"/>
      <c r="B66" s="6"/>
      <c r="C66" s="4"/>
      <c r="D66" s="4"/>
      <c r="E66" s="4"/>
      <c r="F66" s="4"/>
    </row>
    <row r="67" ht="15.75" customHeight="1">
      <c r="A67" s="6"/>
      <c r="B67" s="6"/>
      <c r="C67" s="4"/>
      <c r="D67" s="4"/>
      <c r="E67" s="4"/>
      <c r="F67" s="4"/>
    </row>
    <row r="68" ht="15.75" customHeight="1">
      <c r="A68" s="6"/>
      <c r="B68" s="6"/>
      <c r="C68" s="4"/>
      <c r="D68" s="4"/>
      <c r="E68" s="4"/>
      <c r="F68" s="4"/>
    </row>
    <row r="69" ht="15.75" customHeight="1">
      <c r="A69" s="6"/>
      <c r="B69" s="6"/>
      <c r="C69" s="4"/>
      <c r="D69" s="4"/>
      <c r="E69" s="4"/>
      <c r="F69" s="4"/>
    </row>
    <row r="70" ht="15.75" customHeight="1">
      <c r="A70" s="6"/>
      <c r="B70" s="6"/>
      <c r="C70" s="4"/>
      <c r="D70" s="4"/>
      <c r="E70" s="4"/>
      <c r="F70" s="4"/>
    </row>
    <row r="71" ht="15.75" customHeight="1">
      <c r="A71" s="6"/>
      <c r="B71" s="6"/>
      <c r="C71" s="4"/>
      <c r="D71" s="4"/>
      <c r="E71" s="4"/>
      <c r="F71" s="4"/>
    </row>
    <row r="72" ht="15.75" customHeight="1">
      <c r="A72" s="6"/>
      <c r="B72" s="6"/>
      <c r="C72" s="4"/>
      <c r="D72" s="4"/>
      <c r="E72" s="4"/>
      <c r="F72" s="4"/>
    </row>
    <row r="73" ht="15.75" customHeight="1">
      <c r="A73" s="6"/>
      <c r="B73" s="6"/>
      <c r="C73" s="4"/>
      <c r="D73" s="4"/>
      <c r="E73" s="4"/>
      <c r="F73" s="4"/>
    </row>
    <row r="74" ht="15.75" customHeight="1">
      <c r="A74" s="6"/>
      <c r="B74" s="6"/>
      <c r="C74" s="4"/>
      <c r="D74" s="4"/>
      <c r="E74" s="4"/>
      <c r="F74" s="4"/>
    </row>
    <row r="75" ht="15.75" customHeight="1">
      <c r="A75" s="6"/>
      <c r="B75" s="6"/>
      <c r="C75" s="4"/>
      <c r="D75" s="4"/>
      <c r="E75" s="4"/>
      <c r="F75" s="4"/>
    </row>
    <row r="76" ht="15.75" customHeight="1">
      <c r="A76" s="6"/>
      <c r="B76" s="6"/>
      <c r="C76" s="4"/>
      <c r="D76" s="4"/>
      <c r="E76" s="4"/>
      <c r="F76" s="4"/>
    </row>
    <row r="77" ht="15.75" customHeight="1">
      <c r="A77" s="6"/>
      <c r="B77" s="6"/>
      <c r="C77" s="4"/>
      <c r="D77" s="4"/>
      <c r="E77" s="4"/>
      <c r="F77" s="4"/>
    </row>
    <row r="78" ht="15.75" customHeight="1">
      <c r="A78" s="6"/>
      <c r="B78" s="6"/>
      <c r="C78" s="4"/>
      <c r="D78" s="4"/>
      <c r="E78" s="4"/>
      <c r="F78" s="4"/>
    </row>
    <row r="79" ht="15.75" customHeight="1">
      <c r="A79" s="6"/>
      <c r="B79" s="6"/>
      <c r="C79" s="4"/>
      <c r="D79" s="4"/>
      <c r="E79" s="4"/>
      <c r="F79" s="4"/>
    </row>
    <row r="80" ht="15.75" customHeight="1">
      <c r="A80" s="6"/>
      <c r="B80" s="6"/>
      <c r="C80" s="4"/>
      <c r="D80" s="4"/>
      <c r="E80" s="4"/>
      <c r="F80" s="4"/>
    </row>
    <row r="81" ht="15.75" customHeight="1">
      <c r="A81" s="6"/>
      <c r="B81" s="6"/>
      <c r="C81" s="4"/>
      <c r="D81" s="4"/>
      <c r="E81" s="4"/>
      <c r="F81" s="4"/>
    </row>
    <row r="82" ht="15.75" customHeight="1">
      <c r="A82" s="6"/>
      <c r="B82" s="6"/>
      <c r="C82" s="4"/>
      <c r="D82" s="4"/>
      <c r="E82" s="4"/>
      <c r="F82" s="4"/>
    </row>
    <row r="83" ht="15.75" customHeight="1">
      <c r="A83" s="6"/>
      <c r="B83" s="6"/>
      <c r="C83" s="4"/>
      <c r="D83" s="4"/>
      <c r="E83" s="4"/>
      <c r="F83" s="4"/>
    </row>
    <row r="84" ht="15.75" customHeight="1">
      <c r="A84" s="6"/>
      <c r="B84" s="6"/>
      <c r="C84" s="4"/>
      <c r="D84" s="4"/>
      <c r="E84" s="4"/>
      <c r="F84" s="4"/>
    </row>
    <row r="85" ht="15.75" customHeight="1">
      <c r="A85" s="6"/>
      <c r="B85" s="6"/>
      <c r="C85" s="4"/>
      <c r="D85" s="4"/>
      <c r="E85" s="4"/>
      <c r="F85" s="4"/>
    </row>
    <row r="86" ht="15.75" customHeight="1">
      <c r="A86" s="6"/>
      <c r="B86" s="6"/>
      <c r="C86" s="4"/>
      <c r="D86" s="4"/>
      <c r="E86" s="4"/>
      <c r="F86" s="4"/>
    </row>
    <row r="87" ht="15.75" customHeight="1">
      <c r="A87" s="6"/>
      <c r="B87" s="6"/>
      <c r="C87" s="4"/>
      <c r="D87" s="4"/>
      <c r="E87" s="4"/>
      <c r="F87" s="4"/>
    </row>
    <row r="88" ht="15.75" customHeight="1">
      <c r="A88" s="6"/>
      <c r="B88" s="6"/>
      <c r="C88" s="4"/>
      <c r="D88" s="4"/>
      <c r="E88" s="4"/>
      <c r="F88" s="4"/>
    </row>
    <row r="89" ht="15.75" customHeight="1">
      <c r="A89" s="6"/>
      <c r="B89" s="6"/>
      <c r="C89" s="4"/>
      <c r="D89" s="4"/>
      <c r="E89" s="4"/>
      <c r="F89" s="4"/>
    </row>
    <row r="90" ht="15.75" customHeight="1">
      <c r="A90" s="6"/>
      <c r="B90" s="6"/>
      <c r="C90" s="4"/>
      <c r="D90" s="4"/>
      <c r="E90" s="4"/>
      <c r="F90" s="4"/>
    </row>
    <row r="91" ht="15.75" customHeight="1">
      <c r="A91" s="6"/>
      <c r="B91" s="6"/>
      <c r="C91" s="4"/>
      <c r="D91" s="4"/>
      <c r="E91" s="4"/>
      <c r="F91" s="4"/>
    </row>
    <row r="92" ht="15.75" customHeight="1">
      <c r="A92" s="6"/>
      <c r="B92" s="6"/>
      <c r="C92" s="4"/>
      <c r="D92" s="4"/>
      <c r="E92" s="4"/>
      <c r="F92" s="4"/>
    </row>
    <row r="93" ht="15.75" customHeight="1">
      <c r="A93" s="6"/>
      <c r="B93" s="6"/>
      <c r="C93" s="4"/>
      <c r="D93" s="4"/>
      <c r="E93" s="4"/>
      <c r="F93" s="4"/>
    </row>
    <row r="94" ht="15.75" customHeight="1">
      <c r="A94" s="6"/>
      <c r="B94" s="6"/>
      <c r="C94" s="4"/>
      <c r="D94" s="4"/>
      <c r="E94" s="4"/>
      <c r="F94" s="4"/>
    </row>
    <row r="95" ht="15.75" customHeight="1">
      <c r="A95" s="6"/>
      <c r="B95" s="6"/>
      <c r="C95" s="4"/>
      <c r="D95" s="4"/>
      <c r="E95" s="4"/>
      <c r="F95" s="4"/>
    </row>
    <row r="96" ht="15.75" customHeight="1">
      <c r="A96" s="6"/>
      <c r="B96" s="6"/>
      <c r="C96" s="4"/>
      <c r="D96" s="4"/>
      <c r="E96" s="4"/>
      <c r="F96" s="4"/>
    </row>
    <row r="97" ht="15.75" customHeight="1">
      <c r="A97" s="6"/>
      <c r="B97" s="6"/>
      <c r="C97" s="4"/>
      <c r="D97" s="4"/>
      <c r="E97" s="4"/>
      <c r="F97" s="4"/>
    </row>
    <row r="98" ht="15.75" customHeight="1">
      <c r="A98" s="6"/>
      <c r="B98" s="6"/>
      <c r="C98" s="4"/>
      <c r="D98" s="4"/>
      <c r="E98" s="4"/>
      <c r="F98" s="4"/>
    </row>
    <row r="99" ht="15.75" customHeight="1">
      <c r="A99" s="6"/>
      <c r="B99" s="6"/>
      <c r="C99" s="4"/>
      <c r="D99" s="4"/>
      <c r="E99" s="4"/>
      <c r="F99" s="4"/>
    </row>
    <row r="100" ht="15.75" customHeight="1">
      <c r="A100" s="6"/>
      <c r="B100" s="6"/>
      <c r="C100" s="4"/>
      <c r="D100" s="4"/>
      <c r="E100" s="4"/>
      <c r="F100" s="4"/>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22.0"/>
    <col customWidth="1" min="2" max="6" width="16.0"/>
    <col customWidth="1" min="7" max="8" width="8.63"/>
    <col customWidth="1" min="9" max="26" width="14.38"/>
  </cols>
  <sheetData>
    <row r="1" ht="15.75" customHeight="1">
      <c r="A1" s="15" t="s">
        <v>174</v>
      </c>
      <c r="B1" s="6"/>
      <c r="C1" s="6"/>
      <c r="D1" s="6"/>
      <c r="E1" s="6"/>
      <c r="F1" s="6"/>
      <c r="G1" s="6"/>
      <c r="H1" s="6"/>
    </row>
    <row r="2" ht="15.0" customHeight="1">
      <c r="A2" s="6"/>
      <c r="B2" s="6"/>
      <c r="C2" s="6"/>
      <c r="D2" s="6"/>
      <c r="E2" s="6"/>
      <c r="F2" s="6"/>
      <c r="G2" s="6"/>
      <c r="H2" s="6"/>
    </row>
    <row r="3" ht="15.0" customHeight="1">
      <c r="A3" s="16" t="s">
        <v>175</v>
      </c>
      <c r="B3" s="6"/>
      <c r="C3" s="6"/>
      <c r="D3" s="6"/>
      <c r="E3" s="6"/>
      <c r="F3" s="6"/>
      <c r="G3" s="6"/>
      <c r="H3" s="6"/>
    </row>
    <row r="4" ht="26.25" customHeight="1">
      <c r="A4" s="17" t="s">
        <v>176</v>
      </c>
      <c r="B4" s="17" t="s">
        <v>8</v>
      </c>
      <c r="C4" s="17" t="s">
        <v>9</v>
      </c>
      <c r="D4" s="6"/>
      <c r="E4" s="6"/>
      <c r="F4" s="6"/>
      <c r="G4" s="6"/>
      <c r="H4" s="6"/>
    </row>
    <row r="5" ht="15.0" customHeight="1">
      <c r="A5" s="7" t="s">
        <v>177</v>
      </c>
      <c r="B5" s="18">
        <f>AVERAGE(Raw_Data!$F$2:$F$51)</f>
        <v>55.5</v>
      </c>
      <c r="C5" s="18">
        <f>AVERAGE(Raw_Data!$G$2:$G$51)</f>
        <v>6.532</v>
      </c>
      <c r="D5" s="6"/>
      <c r="E5" s="6"/>
      <c r="F5" s="6"/>
      <c r="G5" s="6"/>
      <c r="H5" s="6"/>
    </row>
    <row r="6" ht="15.0" customHeight="1">
      <c r="A6" s="7" t="s">
        <v>178</v>
      </c>
      <c r="B6" s="18">
        <f>MEDIAN(Raw_Data!$F$2:$F$51)</f>
        <v>46</v>
      </c>
      <c r="C6" s="18">
        <f>MEDIAN(Raw_Data!$G$2:$G$51)</f>
        <v>6.15</v>
      </c>
      <c r="D6" s="6"/>
      <c r="E6" s="6"/>
      <c r="F6" s="6"/>
      <c r="G6" s="6"/>
      <c r="H6" s="6"/>
    </row>
    <row r="7" ht="15.0" customHeight="1">
      <c r="A7" s="7" t="s">
        <v>179</v>
      </c>
      <c r="B7" s="18">
        <f>MIN(Raw_Data!$F$2:$F$51)</f>
        <v>6</v>
      </c>
      <c r="C7" s="18">
        <f>MIN(Raw_Data!$G$2:$G$51)</f>
        <v>0.8</v>
      </c>
      <c r="D7" s="6"/>
      <c r="E7" s="6"/>
      <c r="F7" s="6"/>
      <c r="G7" s="6"/>
      <c r="H7" s="6"/>
    </row>
    <row r="8" ht="15.0" customHeight="1">
      <c r="A8" s="7" t="s">
        <v>180</v>
      </c>
      <c r="B8" s="18">
        <f>MAX(Raw_Data!$F$2:$F$51)</f>
        <v>118</v>
      </c>
      <c r="C8" s="18">
        <f>MAX(Raw_Data!$G$2:$G$51)</f>
        <v>11.6</v>
      </c>
      <c r="D8" s="6"/>
      <c r="E8" s="6"/>
      <c r="F8" s="6"/>
      <c r="G8" s="6"/>
      <c r="H8" s="6"/>
    </row>
    <row r="9" ht="15.0" customHeight="1">
      <c r="A9" s="6"/>
      <c r="B9" s="6"/>
      <c r="C9" s="6"/>
      <c r="D9" s="6"/>
      <c r="E9" s="6"/>
      <c r="F9" s="6"/>
      <c r="G9" s="6"/>
      <c r="H9" s="6"/>
    </row>
    <row r="10" ht="15.0" customHeight="1">
      <c r="A10" s="16" t="s">
        <v>181</v>
      </c>
      <c r="B10" s="6"/>
      <c r="C10" s="6"/>
      <c r="D10" s="6"/>
      <c r="E10" s="6"/>
      <c r="F10" s="6"/>
      <c r="G10" s="6"/>
      <c r="H10" s="6"/>
    </row>
    <row r="11" ht="15.0" customHeight="1">
      <c r="A11" s="7" t="s">
        <v>182</v>
      </c>
      <c r="B11" s="19">
        <f>COUNTA(Raw_Data!$A$2:$A$51)</f>
        <v>50</v>
      </c>
      <c r="C11" s="6"/>
      <c r="D11" s="6"/>
      <c r="E11" s="6"/>
      <c r="F11" s="6"/>
      <c r="G11" s="6"/>
      <c r="H11" s="6"/>
    </row>
    <row r="12" ht="15.0" customHeight="1">
      <c r="A12" s="6"/>
      <c r="B12" s="6"/>
      <c r="C12" s="6"/>
      <c r="D12" s="6"/>
      <c r="E12" s="6"/>
      <c r="F12" s="6"/>
      <c r="G12" s="6"/>
      <c r="H12" s="6"/>
    </row>
    <row r="13" ht="15.0" customHeight="1">
      <c r="A13" s="16" t="s">
        <v>185</v>
      </c>
      <c r="B13" s="6"/>
      <c r="C13" s="6"/>
      <c r="D13" s="6"/>
      <c r="E13" s="6"/>
      <c r="F13" s="6"/>
      <c r="G13" s="6"/>
      <c r="H13" s="6"/>
    </row>
    <row r="14" ht="26.25" customHeight="1">
      <c r="A14" s="17" t="s">
        <v>186</v>
      </c>
      <c r="B14" s="17" t="s">
        <v>187</v>
      </c>
      <c r="C14" s="17" t="s">
        <v>188</v>
      </c>
      <c r="D14" s="6"/>
      <c r="E14" s="6"/>
      <c r="F14" s="6"/>
      <c r="G14" s="6"/>
      <c r="H14" s="6"/>
    </row>
    <row r="15" ht="15.0" customHeight="1">
      <c r="A15" s="7" t="s">
        <v>31</v>
      </c>
      <c r="B15" s="19">
        <f>COUNTIF(Raw_Data!$D$2:$D$51,A15)</f>
        <v>12</v>
      </c>
      <c r="C15" s="21">
        <f>B15/Analysis!$B$11</f>
        <v>0.24</v>
      </c>
      <c r="D15" s="6"/>
      <c r="E15" s="6"/>
      <c r="F15" s="6"/>
      <c r="G15" s="6"/>
      <c r="H15" s="6"/>
    </row>
    <row r="16" ht="15.0" customHeight="1">
      <c r="A16" s="7" t="s">
        <v>26</v>
      </c>
      <c r="B16" s="19">
        <f>COUNTIF(Raw_Data!$D$2:$D$51,A16)</f>
        <v>11</v>
      </c>
      <c r="C16" s="21">
        <f>B16/Analysis!$B$11</f>
        <v>0.22</v>
      </c>
      <c r="D16" s="6"/>
      <c r="E16" s="6"/>
      <c r="F16" s="6"/>
      <c r="G16" s="6"/>
      <c r="H16" s="6"/>
    </row>
    <row r="17" ht="15.0" customHeight="1">
      <c r="A17" s="7" t="s">
        <v>131</v>
      </c>
      <c r="B17" s="19">
        <f>COUNTIF(Raw_Data!$D$2:$D$51,A17)</f>
        <v>11</v>
      </c>
      <c r="C17" s="21">
        <f>B17/Analysis!$B$11</f>
        <v>0.22</v>
      </c>
      <c r="D17" s="6"/>
      <c r="E17" s="6"/>
      <c r="F17" s="6"/>
      <c r="G17" s="6"/>
      <c r="H17" s="6"/>
    </row>
    <row r="18" ht="15.0" customHeight="1">
      <c r="A18" s="7" t="s">
        <v>20</v>
      </c>
      <c r="B18" s="19">
        <f>COUNTIF(Raw_Data!$D$2:$D$51,A18)</f>
        <v>7</v>
      </c>
      <c r="C18" s="21">
        <f>B18/Analysis!$B$11</f>
        <v>0.14</v>
      </c>
      <c r="D18" s="6"/>
      <c r="E18" s="6"/>
      <c r="F18" s="6"/>
      <c r="G18" s="6"/>
      <c r="H18" s="6"/>
    </row>
    <row r="19" ht="15.0" customHeight="1">
      <c r="A19" s="7" t="s">
        <v>95</v>
      </c>
      <c r="B19" s="19">
        <f>COUNTIF(Raw_Data!$D$2:$D$51,A19)</f>
        <v>9</v>
      </c>
      <c r="C19" s="21">
        <f>B19/Analysis!$B$11</f>
        <v>0.18</v>
      </c>
      <c r="D19" s="6"/>
      <c r="E19" s="6"/>
      <c r="F19" s="6"/>
      <c r="G19" s="6"/>
      <c r="H19" s="6"/>
    </row>
    <row r="20" ht="15.0" customHeight="1">
      <c r="A20" s="6"/>
      <c r="B20" s="6"/>
      <c r="C20" s="6"/>
      <c r="D20" s="6"/>
      <c r="E20" s="6"/>
      <c r="F20" s="6"/>
      <c r="G20" s="6"/>
      <c r="H20" s="6"/>
    </row>
    <row r="21" ht="15.0" customHeight="1">
      <c r="A21" s="16" t="s">
        <v>191</v>
      </c>
      <c r="B21" s="6"/>
      <c r="C21" s="6"/>
      <c r="D21" s="6"/>
      <c r="E21" s="6"/>
      <c r="F21" s="6"/>
      <c r="G21" s="6"/>
      <c r="H21" s="6"/>
    </row>
    <row r="22" ht="26.25" customHeight="1">
      <c r="A22" s="17" t="s">
        <v>7</v>
      </c>
      <c r="B22" s="17" t="s">
        <v>187</v>
      </c>
      <c r="C22" s="17" t="s">
        <v>188</v>
      </c>
      <c r="D22" s="6"/>
      <c r="E22" s="6"/>
      <c r="F22" s="6"/>
      <c r="G22" s="6"/>
      <c r="H22" s="6"/>
    </row>
    <row r="23" ht="15.0" customHeight="1">
      <c r="A23" s="7" t="s">
        <v>21</v>
      </c>
      <c r="B23" s="19">
        <f>COUNTIF(Raw_Data!$E$2:$E$51,A23)</f>
        <v>11</v>
      </c>
      <c r="C23" s="21">
        <f>B23/Analysis!$B$11</f>
        <v>0.22</v>
      </c>
      <c r="D23" s="6"/>
      <c r="E23" s="6"/>
      <c r="F23" s="6"/>
      <c r="G23" s="6"/>
      <c r="H23" s="6"/>
    </row>
    <row r="24" ht="15.0" customHeight="1">
      <c r="A24" s="7" t="s">
        <v>44</v>
      </c>
      <c r="B24" s="19">
        <f>COUNTIF(Raw_Data!$E$2:$E$51,A24)</f>
        <v>21</v>
      </c>
      <c r="C24" s="21">
        <f>B24/Analysis!$B$11</f>
        <v>0.42</v>
      </c>
      <c r="D24" s="6"/>
      <c r="E24" s="6"/>
      <c r="F24" s="6"/>
      <c r="G24" s="6"/>
      <c r="H24" s="6"/>
    </row>
    <row r="25" ht="15.0" customHeight="1">
      <c r="A25" s="7" t="s">
        <v>35</v>
      </c>
      <c r="B25" s="19">
        <f>COUNTIF(Raw_Data!$E$2:$E$51,A25)</f>
        <v>14</v>
      </c>
      <c r="C25" s="21">
        <f>B25/Analysis!$B$11</f>
        <v>0.28</v>
      </c>
      <c r="D25" s="6"/>
      <c r="E25" s="6"/>
      <c r="F25" s="6"/>
      <c r="G25" s="6"/>
      <c r="H25" s="6"/>
    </row>
    <row r="26" ht="15.0" customHeight="1">
      <c r="A26" s="7" t="s">
        <v>136</v>
      </c>
      <c r="B26" s="19">
        <f>COUNTIF(Raw_Data!$E$2:$E$51,A26)</f>
        <v>4</v>
      </c>
      <c r="C26" s="21">
        <f>B26/Analysis!$B$11</f>
        <v>0.08</v>
      </c>
      <c r="D26" s="6"/>
      <c r="E26" s="6"/>
      <c r="F26" s="6"/>
      <c r="G26" s="6"/>
      <c r="H26" s="6"/>
    </row>
    <row r="27" ht="15.75" customHeight="1">
      <c r="A27" s="6"/>
      <c r="B27" s="6"/>
      <c r="C27" s="6"/>
      <c r="D27" s="6"/>
      <c r="E27" s="6"/>
      <c r="F27" s="6"/>
      <c r="G27" s="6"/>
      <c r="H27" s="6"/>
    </row>
    <row r="28" ht="15.0" customHeight="1">
      <c r="A28" s="16" t="s">
        <v>192</v>
      </c>
      <c r="B28" s="6"/>
      <c r="C28" s="6"/>
      <c r="D28" s="6"/>
      <c r="E28" s="6"/>
      <c r="F28" s="6"/>
      <c r="G28" s="6"/>
      <c r="H28" s="6"/>
    </row>
    <row r="29" ht="26.25" customHeight="1">
      <c r="A29" s="17" t="s">
        <v>7</v>
      </c>
      <c r="B29" s="17" t="s">
        <v>189</v>
      </c>
      <c r="C29" s="6"/>
      <c r="D29" s="6"/>
      <c r="E29" s="6"/>
      <c r="F29" s="6"/>
      <c r="G29" s="6"/>
      <c r="H29" s="6"/>
    </row>
    <row r="30" ht="15.0" customHeight="1">
      <c r="A30" s="7" t="s">
        <v>21</v>
      </c>
      <c r="B30" s="18">
        <f>AVERAGEIF(Raw_Data!$E$2:$E$51,A30,Raw_Data!$F$2:$F$51)</f>
        <v>57</v>
      </c>
      <c r="C30" s="6"/>
      <c r="D30" s="6"/>
      <c r="E30" s="6"/>
      <c r="F30" s="6"/>
      <c r="G30" s="6"/>
      <c r="H30" s="6"/>
    </row>
    <row r="31" ht="15.0" customHeight="1">
      <c r="A31" s="7" t="s">
        <v>44</v>
      </c>
      <c r="B31" s="18">
        <f>AVERAGEIF(Raw_Data!$E$2:$E$51,A31,Raw_Data!$F$2:$F$51)</f>
        <v>68.85714286</v>
      </c>
      <c r="C31" s="6"/>
      <c r="D31" s="6"/>
      <c r="E31" s="6"/>
      <c r="F31" s="6"/>
      <c r="G31" s="6"/>
      <c r="H31" s="6"/>
    </row>
    <row r="32" ht="15.0" customHeight="1">
      <c r="A32" s="7" t="s">
        <v>35</v>
      </c>
      <c r="B32" s="18">
        <f>AVERAGEIF(Raw_Data!$E$2:$E$51,A32,Raw_Data!$F$2:$F$51)</f>
        <v>32.35714286</v>
      </c>
      <c r="C32" s="6"/>
      <c r="D32" s="6"/>
      <c r="E32" s="6"/>
      <c r="F32" s="6"/>
      <c r="G32" s="6"/>
      <c r="H32" s="6"/>
    </row>
    <row r="33" ht="15.0" customHeight="1">
      <c r="A33" s="7" t="s">
        <v>136</v>
      </c>
      <c r="B33" s="18">
        <f>AVERAGEIF(Raw_Data!$E$2:$E$51,A33,Raw_Data!$F$2:$F$51)</f>
        <v>62.25</v>
      </c>
      <c r="C33" s="6"/>
      <c r="D33" s="6"/>
      <c r="E33" s="6"/>
      <c r="F33" s="6"/>
      <c r="G33" s="6"/>
      <c r="H33" s="6"/>
    </row>
    <row r="34" ht="15.75" customHeight="1">
      <c r="A34" s="6"/>
      <c r="B34" s="6"/>
      <c r="C34" s="6"/>
      <c r="D34" s="6"/>
      <c r="E34" s="6"/>
      <c r="F34" s="6"/>
      <c r="G34" s="6"/>
      <c r="H34" s="6"/>
    </row>
    <row r="35" ht="15.0" customHeight="1">
      <c r="A35" s="16" t="s">
        <v>193</v>
      </c>
      <c r="B35" s="6"/>
      <c r="C35" s="6"/>
      <c r="D35" s="6"/>
      <c r="E35" s="6"/>
      <c r="F35" s="6"/>
      <c r="G35" s="6"/>
      <c r="H35" s="6"/>
    </row>
    <row r="36" ht="26.25" customHeight="1">
      <c r="A36" s="17" t="s">
        <v>186</v>
      </c>
      <c r="B36" s="17" t="s">
        <v>190</v>
      </c>
      <c r="C36" s="6"/>
      <c r="D36" s="6"/>
      <c r="E36" s="6"/>
      <c r="F36" s="6"/>
      <c r="G36" s="6"/>
      <c r="H36" s="6"/>
    </row>
    <row r="37" ht="15.0" customHeight="1">
      <c r="A37" s="7" t="s">
        <v>31</v>
      </c>
      <c r="B37" s="18">
        <f>AVERAGEIF(Raw_Data!$D$2:$D$51,A37,Raw_Data!$G$2:$G$51)</f>
        <v>7.733333333</v>
      </c>
      <c r="C37" s="6"/>
      <c r="D37" s="6"/>
      <c r="E37" s="6"/>
      <c r="F37" s="6"/>
      <c r="G37" s="6"/>
      <c r="H37" s="6"/>
    </row>
    <row r="38" ht="15.0" customHeight="1">
      <c r="A38" s="7" t="s">
        <v>26</v>
      </c>
      <c r="B38" s="18">
        <f>AVERAGEIF(Raw_Data!$D$2:$D$51,A38,Raw_Data!$G$2:$G$51)</f>
        <v>5.536363636</v>
      </c>
      <c r="C38" s="6"/>
      <c r="D38" s="6"/>
      <c r="E38" s="6"/>
      <c r="F38" s="6"/>
      <c r="G38" s="6"/>
      <c r="H38" s="6"/>
    </row>
    <row r="39" ht="15.0" customHeight="1">
      <c r="A39" s="7" t="s">
        <v>131</v>
      </c>
      <c r="B39" s="18">
        <f>AVERAGEIF(Raw_Data!$D$2:$D$51,A39,Raw_Data!$G$2:$G$51)</f>
        <v>5.881818182</v>
      </c>
      <c r="C39" s="6"/>
      <c r="D39" s="6"/>
      <c r="E39" s="6"/>
      <c r="F39" s="6"/>
      <c r="G39" s="6"/>
      <c r="H39" s="6"/>
    </row>
    <row r="40" ht="15.0" customHeight="1">
      <c r="A40" s="7" t="s">
        <v>20</v>
      </c>
      <c r="B40" s="18">
        <f>AVERAGEIF(Raw_Data!$D$2:$D$51,A40,Raw_Data!$G$2:$G$51)</f>
        <v>7.028571429</v>
      </c>
      <c r="C40" s="6"/>
      <c r="D40" s="6"/>
      <c r="E40" s="6"/>
      <c r="F40" s="6"/>
      <c r="G40" s="6"/>
      <c r="H40" s="6"/>
    </row>
    <row r="41" ht="15.0" customHeight="1">
      <c r="A41" s="7" t="s">
        <v>95</v>
      </c>
      <c r="B41" s="18">
        <f>AVERAGEIF(Raw_Data!$D$2:$D$51,A41,Raw_Data!$G$2:$G$51)</f>
        <v>6.555555556</v>
      </c>
      <c r="C41" s="6"/>
      <c r="D41" s="6"/>
      <c r="E41" s="6"/>
      <c r="F41" s="6"/>
      <c r="G41" s="6"/>
      <c r="H41" s="6"/>
    </row>
    <row r="42" ht="15.75" customHeight="1">
      <c r="A42" s="6"/>
      <c r="B42" s="6"/>
      <c r="C42" s="6"/>
      <c r="D42" s="6"/>
      <c r="E42" s="6"/>
      <c r="F42" s="6"/>
      <c r="G42" s="6"/>
      <c r="H42" s="6"/>
    </row>
    <row r="43" ht="15.0" customHeight="1">
      <c r="A43" s="16" t="s">
        <v>194</v>
      </c>
      <c r="B43" s="6"/>
      <c r="C43" s="6"/>
      <c r="D43" s="6"/>
      <c r="E43" s="6"/>
      <c r="F43" s="6"/>
      <c r="G43" s="6"/>
      <c r="H43" s="6"/>
    </row>
    <row r="44" ht="15.0" customHeight="1">
      <c r="A44" s="7" t="s">
        <v>195</v>
      </c>
      <c r="B44" s="19">
        <f>COUNTIF(Raw_Data!$H$2:$H$51,"Yes")</f>
        <v>29</v>
      </c>
      <c r="C44" s="6"/>
      <c r="D44" s="6"/>
      <c r="E44" s="6"/>
      <c r="F44" s="6"/>
      <c r="G44" s="6"/>
      <c r="H44" s="6"/>
    </row>
    <row r="45" ht="15.0" customHeight="1">
      <c r="A45" s="7" t="s">
        <v>196</v>
      </c>
      <c r="B45" s="21">
        <f>COUNTIF(Raw_Data!$H$2:$H$51,"Yes")/Analysis!$B$11</f>
        <v>0.58</v>
      </c>
      <c r="C45" s="6"/>
      <c r="D45" s="6"/>
      <c r="E45" s="6"/>
      <c r="F45" s="6"/>
      <c r="G45" s="6"/>
      <c r="H45" s="6"/>
    </row>
    <row r="46" ht="15.75" customHeight="1">
      <c r="A46" s="6"/>
      <c r="B46" s="6"/>
      <c r="C46" s="6"/>
      <c r="D46" s="6"/>
      <c r="E46" s="6"/>
      <c r="F46" s="6"/>
      <c r="G46" s="6"/>
      <c r="H46" s="6"/>
    </row>
    <row r="47" ht="15.0" customHeight="1">
      <c r="A47" s="16" t="s">
        <v>197</v>
      </c>
      <c r="B47" s="6"/>
      <c r="C47" s="6"/>
      <c r="D47" s="6"/>
      <c r="E47" s="6"/>
      <c r="F47" s="6"/>
      <c r="G47" s="6"/>
      <c r="H47" s="6"/>
    </row>
    <row r="48" ht="15.0" customHeight="1">
      <c r="A48" s="7" t="s">
        <v>198</v>
      </c>
      <c r="B48" s="6"/>
      <c r="C48" s="6"/>
      <c r="D48" s="6"/>
      <c r="E48" s="6"/>
      <c r="F48" s="6"/>
      <c r="G48" s="6"/>
      <c r="H48" s="6"/>
    </row>
    <row r="49" ht="15.0" customHeight="1">
      <c r="A49" s="17" t="s">
        <v>186</v>
      </c>
      <c r="B49" s="17" t="s">
        <v>199</v>
      </c>
      <c r="C49" s="6"/>
      <c r="D49" s="6"/>
      <c r="E49" s="6"/>
      <c r="F49" s="6"/>
      <c r="G49" s="6"/>
      <c r="H49" s="6"/>
    </row>
    <row r="50" ht="15.0" customHeight="1">
      <c r="A50" s="7" t="s">
        <v>31</v>
      </c>
      <c r="B50" s="22">
        <f>AVERAGEIF(Raw_Data!$D$2:$D$51,A50,Raw_Data!$J$2:$J$51)</f>
        <v>3.875</v>
      </c>
      <c r="C50" s="6"/>
      <c r="D50" s="6"/>
      <c r="E50" s="6"/>
      <c r="F50" s="6"/>
      <c r="G50" s="6"/>
      <c r="H50" s="6"/>
    </row>
    <row r="51" ht="15.0" customHeight="1">
      <c r="A51" s="7" t="s">
        <v>26</v>
      </c>
      <c r="B51" s="22">
        <f>AVERAGEIF(Raw_Data!$D$2:$D$51,A51,Raw_Data!$J$2:$J$51)</f>
        <v>3.918181818</v>
      </c>
      <c r="C51" s="6"/>
      <c r="D51" s="6"/>
      <c r="E51" s="6"/>
      <c r="F51" s="6"/>
      <c r="G51" s="6"/>
      <c r="H51" s="6"/>
    </row>
    <row r="52" ht="15.0" customHeight="1">
      <c r="A52" s="7" t="s">
        <v>131</v>
      </c>
      <c r="B52" s="22">
        <f>AVERAGEIF(Raw_Data!$D$2:$D$51,A52,Raw_Data!$J$2:$J$51)</f>
        <v>3.681818182</v>
      </c>
      <c r="C52" s="6"/>
      <c r="D52" s="6"/>
      <c r="E52" s="6"/>
      <c r="F52" s="6"/>
      <c r="G52" s="6"/>
      <c r="H52" s="6"/>
    </row>
    <row r="53" ht="15.0" customHeight="1">
      <c r="A53" s="7" t="s">
        <v>20</v>
      </c>
      <c r="B53" s="22">
        <f>AVERAGEIF(Raw_Data!$D$2:$D$51,A53,Raw_Data!$J$2:$J$51)</f>
        <v>3.757142857</v>
      </c>
      <c r="C53" s="6"/>
      <c r="D53" s="6"/>
      <c r="E53" s="6"/>
      <c r="F53" s="6"/>
      <c r="G53" s="6"/>
      <c r="H53" s="6"/>
    </row>
    <row r="54" ht="15.0" customHeight="1">
      <c r="A54" s="7" t="s">
        <v>95</v>
      </c>
      <c r="B54" s="22">
        <f>AVERAGEIF(Raw_Data!$D$2:$D$51,A54,Raw_Data!$J$2:$J$51)</f>
        <v>3.711111111</v>
      </c>
      <c r="C54" s="6"/>
      <c r="D54" s="6"/>
      <c r="E54" s="6"/>
      <c r="F54" s="6"/>
      <c r="G54" s="6"/>
      <c r="H54" s="6"/>
    </row>
    <row r="55" ht="15.75" customHeight="1">
      <c r="A55" s="6"/>
      <c r="B55" s="6"/>
      <c r="C55" s="6"/>
      <c r="D55" s="6"/>
      <c r="E55" s="6"/>
      <c r="F55" s="6"/>
      <c r="G55" s="6"/>
      <c r="H55" s="6"/>
    </row>
    <row r="56" ht="15.0" customHeight="1">
      <c r="A56" s="7" t="s">
        <v>200</v>
      </c>
      <c r="B56" s="6"/>
      <c r="C56" s="6"/>
      <c r="D56" s="6"/>
      <c r="E56" s="6"/>
      <c r="F56" s="6"/>
      <c r="G56" s="6"/>
      <c r="H56" s="6"/>
    </row>
    <row r="57" ht="15.0" customHeight="1">
      <c r="A57" s="17" t="s">
        <v>7</v>
      </c>
      <c r="B57" s="17" t="s">
        <v>199</v>
      </c>
      <c r="C57" s="6"/>
      <c r="D57" s="6"/>
      <c r="E57" s="6"/>
      <c r="F57" s="6"/>
      <c r="G57" s="6"/>
      <c r="H57" s="6"/>
    </row>
    <row r="58" ht="15.0" customHeight="1">
      <c r="A58" s="7" t="s">
        <v>21</v>
      </c>
      <c r="B58" s="22">
        <f>AVERAGEIF(Raw_Data!$E$2:$E$51,A58,Raw_Data!$J$2:$J$51)</f>
        <v>3.7</v>
      </c>
      <c r="C58" s="6"/>
      <c r="D58" s="6"/>
      <c r="E58" s="6"/>
      <c r="F58" s="6"/>
      <c r="G58" s="6"/>
      <c r="H58" s="6"/>
    </row>
    <row r="59" ht="15.0" customHeight="1">
      <c r="A59" s="7" t="s">
        <v>44</v>
      </c>
      <c r="B59" s="22">
        <f>AVERAGEIF(Raw_Data!$E$2:$E$51,A59,Raw_Data!$J$2:$J$51)</f>
        <v>3.676190476</v>
      </c>
      <c r="C59" s="6"/>
      <c r="D59" s="6"/>
      <c r="E59" s="6"/>
      <c r="F59" s="6"/>
      <c r="G59" s="6"/>
      <c r="H59" s="6"/>
    </row>
    <row r="60" ht="15.0" customHeight="1">
      <c r="A60" s="7" t="s">
        <v>35</v>
      </c>
      <c r="B60" s="22">
        <f>AVERAGEIF(Raw_Data!$E$2:$E$51,A60,Raw_Data!$J$2:$J$51)</f>
        <v>3.942857143</v>
      </c>
      <c r="C60" s="6"/>
      <c r="D60" s="6"/>
      <c r="E60" s="6"/>
      <c r="F60" s="6"/>
      <c r="G60" s="6"/>
      <c r="H60" s="6"/>
    </row>
    <row r="61" ht="15.0" customHeight="1">
      <c r="A61" s="7" t="s">
        <v>136</v>
      </c>
      <c r="B61" s="22">
        <f>AVERAGEIF(Raw_Data!$E$2:$E$51,A61,Raw_Data!$J$2:$J$51)</f>
        <v>4.175</v>
      </c>
      <c r="C61" s="6"/>
      <c r="D61" s="6"/>
      <c r="E61" s="6"/>
      <c r="F61" s="6"/>
      <c r="G61" s="6"/>
      <c r="H61" s="6"/>
    </row>
    <row r="62" ht="15.75" customHeight="1">
      <c r="A62" s="6"/>
      <c r="B62" s="6"/>
      <c r="C62" s="6"/>
      <c r="D62" s="6"/>
      <c r="E62" s="6"/>
      <c r="F62" s="6"/>
      <c r="G62" s="6"/>
      <c r="H62" s="6"/>
    </row>
    <row r="63" ht="15.0" customHeight="1">
      <c r="A63" s="16" t="s">
        <v>201</v>
      </c>
      <c r="B63" s="6"/>
      <c r="C63" s="6"/>
      <c r="D63" s="6"/>
      <c r="E63" s="6"/>
      <c r="F63" s="6"/>
      <c r="G63" s="6"/>
      <c r="H63" s="6"/>
    </row>
    <row r="64" ht="26.25" customHeight="1">
      <c r="A64" s="17" t="s">
        <v>11</v>
      </c>
      <c r="B64" s="17" t="s">
        <v>202</v>
      </c>
      <c r="C64" s="17" t="s">
        <v>190</v>
      </c>
      <c r="D64" s="17" t="s">
        <v>199</v>
      </c>
      <c r="E64" s="6"/>
      <c r="F64" s="6"/>
      <c r="G64" s="6"/>
      <c r="H64" s="6"/>
    </row>
    <row r="65" ht="15.0" customHeight="1">
      <c r="A65" s="7" t="s">
        <v>28</v>
      </c>
      <c r="B65" s="19">
        <f>COUNTIF(Raw_Data!$I$2:$I$51,A65)</f>
        <v>7</v>
      </c>
      <c r="C65" s="18">
        <f>AVERAGEIF(Raw_Data!$I$2:$I$51,A65,Raw_Data!$G$2:$G$51)</f>
        <v>5.985714286</v>
      </c>
      <c r="D65" s="22">
        <f>AVERAGEIF(Raw_Data!$I$2:$I$51,A65,Raw_Data!$J$2:$J$51)</f>
        <v>4.171428571</v>
      </c>
      <c r="E65" s="6"/>
      <c r="F65" s="6"/>
      <c r="G65" s="6"/>
      <c r="H65" s="6"/>
    </row>
    <row r="66" ht="15.0" customHeight="1">
      <c r="A66" s="7" t="s">
        <v>32</v>
      </c>
      <c r="B66" s="19">
        <f>COUNTIF(Raw_Data!$I$2:$I$51,A66)</f>
        <v>17</v>
      </c>
      <c r="C66" s="18">
        <f>AVERAGEIF(Raw_Data!$I$2:$I$51,A66,Raw_Data!$G$2:$G$51)</f>
        <v>6.935294118</v>
      </c>
      <c r="D66" s="22">
        <f>AVERAGEIF(Raw_Data!$I$2:$I$51,A66,Raw_Data!$J$2:$J$51)</f>
        <v>3.782352941</v>
      </c>
      <c r="E66" s="6"/>
      <c r="F66" s="6"/>
      <c r="G66" s="6"/>
      <c r="H66" s="6"/>
    </row>
    <row r="67" ht="15.0" customHeight="1">
      <c r="A67" s="7" t="s">
        <v>132</v>
      </c>
      <c r="B67" s="19">
        <f>COUNTIF(Raw_Data!$I$2:$I$51,A67)</f>
        <v>12</v>
      </c>
      <c r="C67" s="18">
        <f>AVERAGEIF(Raw_Data!$I$2:$I$51,A67,Raw_Data!$G$2:$G$51)</f>
        <v>5.683333333</v>
      </c>
      <c r="D67" s="22">
        <f>AVERAGEIF(Raw_Data!$I$2:$I$51,A67,Raw_Data!$J$2:$J$51)</f>
        <v>3.908333333</v>
      </c>
      <c r="E67" s="6"/>
      <c r="F67" s="6"/>
      <c r="G67" s="6"/>
      <c r="H67" s="6"/>
    </row>
    <row r="68" ht="15.0" customHeight="1">
      <c r="A68" s="7" t="s">
        <v>23</v>
      </c>
      <c r="B68" s="19">
        <f>COUNTIF(Raw_Data!$I$2:$I$51,A68)</f>
        <v>14</v>
      </c>
      <c r="C68" s="18">
        <f>AVERAGEIF(Raw_Data!$I$2:$I$51,A68,Raw_Data!$G$2:$G$51)</f>
        <v>7.042857143</v>
      </c>
      <c r="D68" s="22">
        <f>AVERAGEIF(Raw_Data!$I$2:$I$51,A68,Raw_Data!$J$2:$J$51)</f>
        <v>3.528571429</v>
      </c>
      <c r="E68" s="6"/>
      <c r="F68" s="6"/>
      <c r="G68" s="6"/>
      <c r="H68" s="6"/>
    </row>
    <row r="69" ht="15.75" customHeight="1">
      <c r="A69" s="6"/>
      <c r="B69" s="6"/>
      <c r="C69" s="6"/>
      <c r="D69" s="6"/>
      <c r="E69" s="6"/>
      <c r="F69" s="6"/>
      <c r="G69" s="6"/>
      <c r="H69" s="6"/>
    </row>
    <row r="70" ht="15.75" customHeight="1">
      <c r="A70" s="6"/>
      <c r="B70" s="6"/>
      <c r="C70" s="6"/>
      <c r="D70" s="6"/>
      <c r="E70" s="6"/>
      <c r="F70" s="6"/>
      <c r="G70" s="6"/>
      <c r="H70" s="6"/>
    </row>
    <row r="71" ht="15.75" customHeight="1">
      <c r="A71" s="6"/>
      <c r="B71" s="6"/>
      <c r="C71" s="6"/>
      <c r="D71" s="6"/>
      <c r="E71" s="6"/>
      <c r="F71" s="6"/>
      <c r="G71" s="6"/>
      <c r="H71" s="6"/>
    </row>
    <row r="72" ht="15.75" customHeight="1">
      <c r="A72" s="6"/>
      <c r="B72" s="6"/>
      <c r="C72" s="6"/>
      <c r="D72" s="6"/>
      <c r="E72" s="6"/>
      <c r="F72" s="6"/>
      <c r="G72" s="6"/>
      <c r="H72" s="6"/>
    </row>
    <row r="73" ht="15.75" customHeight="1">
      <c r="A73" s="6"/>
      <c r="B73" s="6"/>
      <c r="C73" s="6"/>
      <c r="D73" s="6"/>
      <c r="E73" s="6"/>
      <c r="F73" s="6"/>
      <c r="G73" s="6"/>
      <c r="H73" s="6"/>
    </row>
    <row r="74" ht="15.75" customHeight="1">
      <c r="A74" s="6"/>
      <c r="B74" s="6"/>
      <c r="C74" s="6"/>
      <c r="D74" s="6"/>
      <c r="E74" s="6"/>
      <c r="F74" s="6"/>
      <c r="G74" s="6"/>
      <c r="H74" s="6"/>
    </row>
    <row r="75" ht="15.75" customHeight="1">
      <c r="A75" s="6"/>
      <c r="B75" s="6"/>
      <c r="C75" s="6"/>
      <c r="D75" s="6"/>
      <c r="E75" s="6"/>
      <c r="F75" s="6"/>
      <c r="G75" s="6"/>
      <c r="H75" s="6"/>
    </row>
    <row r="76" ht="15.75" customHeight="1">
      <c r="A76" s="6"/>
      <c r="B76" s="6"/>
      <c r="C76" s="6"/>
      <c r="D76" s="6"/>
      <c r="E76" s="6"/>
      <c r="F76" s="6"/>
      <c r="G76" s="6"/>
      <c r="H76" s="6"/>
    </row>
    <row r="77" ht="15.75" customHeight="1">
      <c r="A77" s="6"/>
      <c r="B77" s="6"/>
      <c r="C77" s="6"/>
      <c r="D77" s="6"/>
      <c r="E77" s="6"/>
      <c r="F77" s="6"/>
      <c r="G77" s="6"/>
      <c r="H77" s="6"/>
    </row>
    <row r="78" ht="15.75" customHeight="1">
      <c r="A78" s="6"/>
      <c r="B78" s="6"/>
      <c r="C78" s="6"/>
      <c r="D78" s="6"/>
      <c r="E78" s="6"/>
      <c r="F78" s="6"/>
      <c r="G78" s="6"/>
      <c r="H78" s="6"/>
    </row>
    <row r="79" ht="15.75" customHeight="1">
      <c r="A79" s="6"/>
      <c r="B79" s="6"/>
      <c r="C79" s="6"/>
      <c r="D79" s="6"/>
      <c r="E79" s="6"/>
      <c r="F79" s="6"/>
      <c r="G79" s="6"/>
      <c r="H79" s="6"/>
    </row>
    <row r="80" ht="15.75" customHeight="1">
      <c r="A80" s="6"/>
      <c r="B80" s="6"/>
      <c r="C80" s="6"/>
      <c r="D80" s="6"/>
      <c r="E80" s="6"/>
      <c r="F80" s="6"/>
      <c r="G80" s="6"/>
      <c r="H80" s="6"/>
    </row>
    <row r="81" ht="15.75" customHeight="1">
      <c r="A81" s="6"/>
      <c r="B81" s="6"/>
      <c r="C81" s="6"/>
      <c r="D81" s="6"/>
      <c r="E81" s="6"/>
      <c r="F81" s="6"/>
      <c r="G81" s="6"/>
      <c r="H81" s="6"/>
    </row>
    <row r="82" ht="15.75" customHeight="1">
      <c r="A82" s="6"/>
      <c r="B82" s="6"/>
      <c r="C82" s="6"/>
      <c r="D82" s="6"/>
      <c r="E82" s="6"/>
      <c r="F82" s="6"/>
      <c r="G82" s="6"/>
      <c r="H82" s="6"/>
    </row>
    <row r="83" ht="15.75" customHeight="1">
      <c r="A83" s="6"/>
      <c r="B83" s="6"/>
      <c r="C83" s="6"/>
      <c r="D83" s="6"/>
      <c r="E83" s="6"/>
      <c r="F83" s="6"/>
      <c r="G83" s="6"/>
      <c r="H83" s="6"/>
    </row>
    <row r="84" ht="15.75" customHeight="1">
      <c r="A84" s="6"/>
      <c r="B84" s="6"/>
      <c r="C84" s="6"/>
      <c r="D84" s="6"/>
      <c r="E84" s="6"/>
      <c r="F84" s="6"/>
      <c r="G84" s="6"/>
      <c r="H84" s="6"/>
    </row>
    <row r="85" ht="15.75" customHeight="1">
      <c r="A85" s="6"/>
      <c r="B85" s="6"/>
      <c r="C85" s="6"/>
      <c r="D85" s="6"/>
      <c r="E85" s="6"/>
      <c r="F85" s="6"/>
      <c r="G85" s="6"/>
      <c r="H85" s="6"/>
    </row>
    <row r="86" ht="15.75" customHeight="1">
      <c r="A86" s="6"/>
      <c r="B86" s="6"/>
      <c r="C86" s="6"/>
      <c r="D86" s="6"/>
      <c r="E86" s="6"/>
      <c r="F86" s="6"/>
      <c r="G86" s="6"/>
      <c r="H86" s="6"/>
    </row>
    <row r="87" ht="15.75" customHeight="1">
      <c r="A87" s="6"/>
      <c r="B87" s="6"/>
      <c r="C87" s="6"/>
      <c r="D87" s="6"/>
      <c r="E87" s="6"/>
      <c r="F87" s="6"/>
      <c r="G87" s="6"/>
      <c r="H87" s="6"/>
    </row>
    <row r="88" ht="15.75" customHeight="1">
      <c r="A88" s="6"/>
      <c r="B88" s="6"/>
      <c r="C88" s="6"/>
      <c r="D88" s="6"/>
      <c r="E88" s="6"/>
      <c r="F88" s="6"/>
      <c r="G88" s="6"/>
      <c r="H88" s="6"/>
    </row>
    <row r="89" ht="15.75" customHeight="1">
      <c r="A89" s="6"/>
      <c r="B89" s="6"/>
      <c r="C89" s="6"/>
      <c r="D89" s="6"/>
      <c r="E89" s="6"/>
      <c r="F89" s="6"/>
      <c r="G89" s="6"/>
      <c r="H89" s="6"/>
    </row>
    <row r="90" ht="15.75" customHeight="1">
      <c r="A90" s="6"/>
      <c r="B90" s="6"/>
      <c r="C90" s="6"/>
      <c r="D90" s="6"/>
      <c r="E90" s="6"/>
      <c r="F90" s="6"/>
      <c r="G90" s="6"/>
      <c r="H90" s="6"/>
    </row>
    <row r="91" ht="15.75" customHeight="1">
      <c r="A91" s="6"/>
      <c r="B91" s="6"/>
      <c r="C91" s="6"/>
      <c r="D91" s="6"/>
      <c r="E91" s="6"/>
      <c r="F91" s="6"/>
      <c r="G91" s="6"/>
      <c r="H91" s="6"/>
    </row>
    <row r="92" ht="15.75" customHeight="1">
      <c r="A92" s="6"/>
      <c r="B92" s="6"/>
      <c r="C92" s="6"/>
      <c r="D92" s="6"/>
      <c r="E92" s="6"/>
      <c r="F92" s="6"/>
      <c r="G92" s="6"/>
      <c r="H92" s="6"/>
    </row>
    <row r="93" ht="15.75" customHeight="1">
      <c r="A93" s="6"/>
      <c r="B93" s="6"/>
      <c r="C93" s="6"/>
      <c r="D93" s="6"/>
      <c r="E93" s="6"/>
      <c r="F93" s="6"/>
      <c r="G93" s="6"/>
      <c r="H93" s="6"/>
    </row>
    <row r="94" ht="15.75" customHeight="1">
      <c r="A94" s="6"/>
      <c r="B94" s="6"/>
      <c r="C94" s="6"/>
      <c r="D94" s="6"/>
      <c r="E94" s="6"/>
      <c r="F94" s="6"/>
      <c r="G94" s="6"/>
      <c r="H94" s="6"/>
    </row>
    <row r="95" ht="15.75" customHeight="1">
      <c r="A95" s="6"/>
      <c r="B95" s="6"/>
      <c r="C95" s="6"/>
      <c r="D95" s="6"/>
      <c r="E95" s="6"/>
      <c r="F95" s="6"/>
      <c r="G95" s="6"/>
      <c r="H95" s="6"/>
    </row>
    <row r="96" ht="15.75" customHeight="1">
      <c r="A96" s="6"/>
      <c r="B96" s="6"/>
      <c r="C96" s="6"/>
      <c r="D96" s="6"/>
      <c r="E96" s="6"/>
      <c r="F96" s="6"/>
      <c r="G96" s="6"/>
      <c r="H96" s="6"/>
    </row>
    <row r="97" ht="15.75" customHeight="1">
      <c r="A97" s="6"/>
      <c r="B97" s="6"/>
      <c r="C97" s="6"/>
      <c r="D97" s="6"/>
      <c r="E97" s="6"/>
      <c r="F97" s="6"/>
      <c r="G97" s="6"/>
      <c r="H97" s="6"/>
    </row>
    <row r="98" ht="15.75" customHeight="1">
      <c r="A98" s="6"/>
      <c r="B98" s="6"/>
      <c r="C98" s="6"/>
      <c r="D98" s="6"/>
      <c r="E98" s="6"/>
      <c r="F98" s="6"/>
      <c r="G98" s="6"/>
      <c r="H98" s="6"/>
    </row>
    <row r="99" ht="15.75" customHeight="1">
      <c r="A99" s="6"/>
      <c r="B99" s="6"/>
      <c r="C99" s="6"/>
      <c r="D99" s="6"/>
      <c r="E99" s="6"/>
      <c r="F99" s="6"/>
      <c r="G99" s="6"/>
      <c r="H99" s="6"/>
    </row>
    <row r="100" ht="15.75" customHeight="1">
      <c r="A100" s="6"/>
      <c r="B100" s="6"/>
      <c r="C100" s="6"/>
      <c r="D100" s="6"/>
      <c r="E100" s="6"/>
      <c r="F100" s="6"/>
      <c r="G100" s="6"/>
      <c r="H100" s="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16.0"/>
    <col customWidth="1" min="2" max="2" width="14.0"/>
    <col customWidth="1" min="3" max="3" width="16.0"/>
    <col customWidth="1" min="4" max="5" width="22.0"/>
    <col customWidth="1" min="6" max="6" width="8.63"/>
    <col customWidth="1" min="7" max="26" width="14.38"/>
  </cols>
  <sheetData>
    <row r="1" ht="15.75" customHeight="1">
      <c r="A1" s="15" t="s">
        <v>183</v>
      </c>
      <c r="B1" s="6"/>
      <c r="C1" s="6"/>
      <c r="D1" s="6"/>
      <c r="E1" s="6"/>
      <c r="F1" s="4"/>
    </row>
    <row r="2" ht="15.0" customHeight="1">
      <c r="A2" s="20" t="s">
        <v>184</v>
      </c>
      <c r="B2" s="6"/>
      <c r="C2" s="6"/>
      <c r="D2" s="6"/>
      <c r="E2" s="6"/>
      <c r="F2" s="4"/>
    </row>
    <row r="3" ht="15.0" customHeight="1">
      <c r="A3" s="6"/>
      <c r="B3" s="6"/>
      <c r="C3" s="6"/>
      <c r="D3" s="6"/>
      <c r="E3" s="6"/>
      <c r="F3" s="4"/>
    </row>
    <row r="4" ht="26.25" customHeight="1">
      <c r="A4" s="17" t="s">
        <v>186</v>
      </c>
      <c r="B4" s="17" t="s">
        <v>7</v>
      </c>
      <c r="C4" s="17" t="s">
        <v>187</v>
      </c>
      <c r="D4" s="17" t="s">
        <v>189</v>
      </c>
      <c r="E4" s="17" t="s">
        <v>190</v>
      </c>
      <c r="F4" s="4"/>
    </row>
    <row r="5" ht="15.0" customHeight="1">
      <c r="A5" s="7" t="s">
        <v>31</v>
      </c>
      <c r="B5" s="7" t="s">
        <v>21</v>
      </c>
      <c r="C5" s="19">
        <f>COUNTIFS(Raw_Data!$D$2:$D$51,A5,Raw_Data!$E$2:$E$51,B5)</f>
        <v>3</v>
      </c>
      <c r="D5" s="18">
        <f>IFERROR(AVERAGEIFS(Raw_Data!$F$2:$F$51,Raw_Data!$D$2:$D$51,A5,Raw_Data!$E$2:$E$51,B5),"")</f>
        <v>45.33333333</v>
      </c>
      <c r="E5" s="18">
        <f>IFERROR(AVERAGEIFS(Raw_Data!$G$2:$G$51,Raw_Data!$D$2:$D$51,A5,Raw_Data!$E$2:$E$51,B5),"")</f>
        <v>10.1</v>
      </c>
      <c r="F5" s="4"/>
    </row>
    <row r="6" ht="15.0" customHeight="1">
      <c r="A6" s="7" t="s">
        <v>31</v>
      </c>
      <c r="B6" s="7" t="s">
        <v>44</v>
      </c>
      <c r="C6" s="19">
        <f>COUNTIFS(Raw_Data!$D$2:$D$51,A6,Raw_Data!$E$2:$E$51,B6)</f>
        <v>5</v>
      </c>
      <c r="D6" s="18">
        <f>IFERROR(AVERAGEIFS(Raw_Data!$F$2:$F$51,Raw_Data!$D$2:$D$51,A6,Raw_Data!$E$2:$E$51,B6),"")</f>
        <v>47.4</v>
      </c>
      <c r="E6" s="18">
        <f>IFERROR(AVERAGEIFS(Raw_Data!$G$2:$G$51,Raw_Data!$D$2:$D$51,A6,Raw_Data!$E$2:$E$51,B6),"")</f>
        <v>6.42</v>
      </c>
      <c r="F6" s="4"/>
    </row>
    <row r="7" ht="15.0" customHeight="1">
      <c r="A7" s="7" t="s">
        <v>31</v>
      </c>
      <c r="B7" s="7" t="s">
        <v>35</v>
      </c>
      <c r="C7" s="19">
        <f>COUNTIFS(Raw_Data!$D$2:$D$51,A7,Raw_Data!$E$2:$E$51,B7)</f>
        <v>3</v>
      </c>
      <c r="D7" s="18">
        <f>IFERROR(AVERAGEIFS(Raw_Data!$F$2:$F$51,Raw_Data!$D$2:$D$51,A7,Raw_Data!$E$2:$E$51,B7),"")</f>
        <v>34.33333333</v>
      </c>
      <c r="E7" s="18">
        <f>IFERROR(AVERAGEIFS(Raw_Data!$G$2:$G$51,Raw_Data!$D$2:$D$51,A7,Raw_Data!$E$2:$E$51,B7),"")</f>
        <v>8.033333333</v>
      </c>
      <c r="F7" s="4"/>
    </row>
    <row r="8" ht="15.0" customHeight="1">
      <c r="A8" s="7" t="s">
        <v>31</v>
      </c>
      <c r="B8" s="7" t="s">
        <v>136</v>
      </c>
      <c r="C8" s="19">
        <f>COUNTIFS(Raw_Data!$D$2:$D$51,A8,Raw_Data!$E$2:$E$51,B8)</f>
        <v>1</v>
      </c>
      <c r="D8" s="18">
        <f>IFERROR(AVERAGEIFS(Raw_Data!$F$2:$F$51,Raw_Data!$D$2:$D$51,A8,Raw_Data!$E$2:$E$51,B8),"")</f>
        <v>58</v>
      </c>
      <c r="E8" s="18">
        <f>IFERROR(AVERAGEIFS(Raw_Data!$G$2:$G$51,Raw_Data!$D$2:$D$51,A8,Raw_Data!$E$2:$E$51,B8),"")</f>
        <v>6.3</v>
      </c>
      <c r="F8" s="4"/>
    </row>
    <row r="9" ht="15.0" customHeight="1">
      <c r="A9" s="7" t="s">
        <v>26</v>
      </c>
      <c r="B9" s="7" t="s">
        <v>21</v>
      </c>
      <c r="C9" s="19">
        <f>COUNTIFS(Raw_Data!$D$2:$D$51,A9,Raw_Data!$E$2:$E$51,B9)</f>
        <v>3</v>
      </c>
      <c r="D9" s="18">
        <f>IFERROR(AVERAGEIFS(Raw_Data!$F$2:$F$51,Raw_Data!$D$2:$D$51,A9,Raw_Data!$E$2:$E$51,B9),"")</f>
        <v>66.33333333</v>
      </c>
      <c r="E9" s="18">
        <f>IFERROR(AVERAGEIFS(Raw_Data!$G$2:$G$51,Raw_Data!$D$2:$D$51,A9,Raw_Data!$E$2:$E$51,B9),"")</f>
        <v>4</v>
      </c>
      <c r="F9" s="4"/>
    </row>
    <row r="10" ht="15.0" customHeight="1">
      <c r="A10" s="7" t="s">
        <v>26</v>
      </c>
      <c r="B10" s="7" t="s">
        <v>44</v>
      </c>
      <c r="C10" s="19">
        <f>COUNTIFS(Raw_Data!$D$2:$D$51,A10,Raw_Data!$E$2:$E$51,B10)</f>
        <v>2</v>
      </c>
      <c r="D10" s="18">
        <f>IFERROR(AVERAGEIFS(Raw_Data!$F$2:$F$51,Raw_Data!$D$2:$D$51,A10,Raw_Data!$E$2:$E$51,B10),"")</f>
        <v>46.5</v>
      </c>
      <c r="E10" s="18">
        <f>IFERROR(AVERAGEIFS(Raw_Data!$G$2:$G$51,Raw_Data!$D$2:$D$51,A10,Raw_Data!$E$2:$E$51,B10),"")</f>
        <v>5.75</v>
      </c>
      <c r="F10" s="4"/>
    </row>
    <row r="11" ht="15.0" customHeight="1">
      <c r="A11" s="7" t="s">
        <v>26</v>
      </c>
      <c r="B11" s="7" t="s">
        <v>35</v>
      </c>
      <c r="C11" s="19">
        <f>COUNTIFS(Raw_Data!$D$2:$D$51,A11,Raw_Data!$E$2:$E$51,B11)</f>
        <v>3</v>
      </c>
      <c r="D11" s="18">
        <f>IFERROR(AVERAGEIFS(Raw_Data!$F$2:$F$51,Raw_Data!$D$2:$D$51,A11,Raw_Data!$E$2:$E$51,B11),"")</f>
        <v>39</v>
      </c>
      <c r="E11" s="18">
        <f>IFERROR(AVERAGEIFS(Raw_Data!$G$2:$G$51,Raw_Data!$D$2:$D$51,A11,Raw_Data!$E$2:$E$51,B11),"")</f>
        <v>9.2</v>
      </c>
      <c r="F11" s="4"/>
    </row>
    <row r="12" ht="15.0" customHeight="1">
      <c r="A12" s="7" t="s">
        <v>26</v>
      </c>
      <c r="B12" s="7" t="s">
        <v>136</v>
      </c>
      <c r="C12" s="19">
        <f>COUNTIFS(Raw_Data!$D$2:$D$51,A12,Raw_Data!$E$2:$E$51,B12)</f>
        <v>3</v>
      </c>
      <c r="D12" s="18">
        <f>IFERROR(AVERAGEIFS(Raw_Data!$F$2:$F$51,Raw_Data!$D$2:$D$51,A12,Raw_Data!$E$2:$E$51,B12),"")</f>
        <v>63.66666667</v>
      </c>
      <c r="E12" s="18">
        <f>IFERROR(AVERAGEIFS(Raw_Data!$G$2:$G$51,Raw_Data!$D$2:$D$51,A12,Raw_Data!$E$2:$E$51,B12),"")</f>
        <v>3.266666667</v>
      </c>
      <c r="F12" s="4"/>
    </row>
    <row r="13" ht="15.0" customHeight="1">
      <c r="A13" s="7" t="s">
        <v>131</v>
      </c>
      <c r="B13" s="7" t="s">
        <v>21</v>
      </c>
      <c r="C13" s="19">
        <f>COUNTIFS(Raw_Data!$D$2:$D$51,A13,Raw_Data!$E$2:$E$51,B13)</f>
        <v>1</v>
      </c>
      <c r="D13" s="18">
        <f>IFERROR(AVERAGEIFS(Raw_Data!$F$2:$F$51,Raw_Data!$D$2:$D$51,A13,Raw_Data!$E$2:$E$51,B13),"")</f>
        <v>83</v>
      </c>
      <c r="E13" s="18">
        <f>IFERROR(AVERAGEIFS(Raw_Data!$G$2:$G$51,Raw_Data!$D$2:$D$51,A13,Raw_Data!$E$2:$E$51,B13),"")</f>
        <v>6.1</v>
      </c>
      <c r="F13" s="4"/>
    </row>
    <row r="14" ht="15.0" customHeight="1">
      <c r="A14" s="7" t="s">
        <v>131</v>
      </c>
      <c r="B14" s="7" t="s">
        <v>44</v>
      </c>
      <c r="C14" s="19">
        <f>COUNTIFS(Raw_Data!$D$2:$D$51,A14,Raw_Data!$E$2:$E$51,B14)</f>
        <v>8</v>
      </c>
      <c r="D14" s="18">
        <f>IFERROR(AVERAGEIFS(Raw_Data!$F$2:$F$51,Raw_Data!$D$2:$D$51,A14,Raw_Data!$E$2:$E$51,B14),"")</f>
        <v>72.125</v>
      </c>
      <c r="E14" s="18">
        <f>IFERROR(AVERAGEIFS(Raw_Data!$G$2:$G$51,Raw_Data!$D$2:$D$51,A14,Raw_Data!$E$2:$E$51,B14),"")</f>
        <v>6.275</v>
      </c>
      <c r="F14" s="4"/>
    </row>
    <row r="15" ht="15.0" customHeight="1">
      <c r="A15" s="7" t="s">
        <v>131</v>
      </c>
      <c r="B15" s="7" t="s">
        <v>35</v>
      </c>
      <c r="C15" s="19">
        <f>COUNTIFS(Raw_Data!$D$2:$D$51,A15,Raw_Data!$E$2:$E$51,B15)</f>
        <v>2</v>
      </c>
      <c r="D15" s="18">
        <f>IFERROR(AVERAGEIFS(Raw_Data!$F$2:$F$51,Raw_Data!$D$2:$D$51,A15,Raw_Data!$E$2:$E$51,B15),"")</f>
        <v>21</v>
      </c>
      <c r="E15" s="18">
        <f>IFERROR(AVERAGEIFS(Raw_Data!$G$2:$G$51,Raw_Data!$D$2:$D$51,A15,Raw_Data!$E$2:$E$51,B15),"")</f>
        <v>4.2</v>
      </c>
      <c r="F15" s="4"/>
    </row>
    <row r="16" ht="15.0" customHeight="1">
      <c r="A16" s="7" t="s">
        <v>131</v>
      </c>
      <c r="B16" s="7" t="s">
        <v>136</v>
      </c>
      <c r="C16" s="19">
        <f>COUNTIFS(Raw_Data!$D$2:$D$51,A16,Raw_Data!$E$2:$E$51,B16)</f>
        <v>0</v>
      </c>
      <c r="D16" s="18" t="str">
        <f>IFERROR(AVERAGEIFS(Raw_Data!$F$2:$F$51,Raw_Data!$D$2:$D$51,A16,Raw_Data!$E$2:$E$51,B16),"")</f>
        <v/>
      </c>
      <c r="E16" s="18" t="str">
        <f>IFERROR(AVERAGEIFS(Raw_Data!$G$2:$G$51,Raw_Data!$D$2:$D$51,A16,Raw_Data!$E$2:$E$51,B16),"")</f>
        <v/>
      </c>
      <c r="F16" s="4"/>
    </row>
    <row r="17" ht="15.0" customHeight="1">
      <c r="A17" s="7" t="s">
        <v>20</v>
      </c>
      <c r="B17" s="7" t="s">
        <v>21</v>
      </c>
      <c r="C17" s="19">
        <f>COUNTIFS(Raw_Data!$D$2:$D$51,A17,Raw_Data!$E$2:$E$51,B17)</f>
        <v>2</v>
      </c>
      <c r="D17" s="18">
        <f>IFERROR(AVERAGEIFS(Raw_Data!$F$2:$F$51,Raw_Data!$D$2:$D$51,A17,Raw_Data!$E$2:$E$51,B17),"")</f>
        <v>56</v>
      </c>
      <c r="E17" s="18">
        <f>IFERROR(AVERAGEIFS(Raw_Data!$G$2:$G$51,Raw_Data!$D$2:$D$51,A17,Raw_Data!$E$2:$E$51,B17),"")</f>
        <v>10.1</v>
      </c>
      <c r="F17" s="4"/>
    </row>
    <row r="18" ht="15.0" customHeight="1">
      <c r="A18" s="7" t="s">
        <v>20</v>
      </c>
      <c r="B18" s="7" t="s">
        <v>44</v>
      </c>
      <c r="C18" s="19">
        <f>COUNTIFS(Raw_Data!$D$2:$D$51,A18,Raw_Data!$E$2:$E$51,B18)</f>
        <v>3</v>
      </c>
      <c r="D18" s="18">
        <f>IFERROR(AVERAGEIFS(Raw_Data!$F$2:$F$51,Raw_Data!$D$2:$D$51,A18,Raw_Data!$E$2:$E$51,B18),"")</f>
        <v>64.33333333</v>
      </c>
      <c r="E18" s="18">
        <f>IFERROR(AVERAGEIFS(Raw_Data!$G$2:$G$51,Raw_Data!$D$2:$D$51,A18,Raw_Data!$E$2:$E$51,B18),"")</f>
        <v>7.166666667</v>
      </c>
      <c r="F18" s="4"/>
    </row>
    <row r="19" ht="15.0" customHeight="1">
      <c r="A19" s="7" t="s">
        <v>20</v>
      </c>
      <c r="B19" s="7" t="s">
        <v>35</v>
      </c>
      <c r="C19" s="19">
        <f>COUNTIFS(Raw_Data!$D$2:$D$51,A19,Raw_Data!$E$2:$E$51,B19)</f>
        <v>2</v>
      </c>
      <c r="D19" s="18">
        <f>IFERROR(AVERAGEIFS(Raw_Data!$F$2:$F$51,Raw_Data!$D$2:$D$51,A19,Raw_Data!$E$2:$E$51,B19),"")</f>
        <v>46.5</v>
      </c>
      <c r="E19" s="18">
        <f>IFERROR(AVERAGEIFS(Raw_Data!$G$2:$G$51,Raw_Data!$D$2:$D$51,A19,Raw_Data!$E$2:$E$51,B19),"")</f>
        <v>3.75</v>
      </c>
      <c r="F19" s="4"/>
    </row>
    <row r="20" ht="15.0" customHeight="1">
      <c r="A20" s="7" t="s">
        <v>20</v>
      </c>
      <c r="B20" s="7" t="s">
        <v>136</v>
      </c>
      <c r="C20" s="19">
        <f>COUNTIFS(Raw_Data!$D$2:$D$51,A20,Raw_Data!$E$2:$E$51,B20)</f>
        <v>0</v>
      </c>
      <c r="D20" s="18" t="str">
        <f>IFERROR(AVERAGEIFS(Raw_Data!$F$2:$F$51,Raw_Data!$D$2:$D$51,A20,Raw_Data!$E$2:$E$51,B20),"")</f>
        <v/>
      </c>
      <c r="E20" s="18" t="str">
        <f>IFERROR(AVERAGEIFS(Raw_Data!$G$2:$G$51,Raw_Data!$D$2:$D$51,A20,Raw_Data!$E$2:$E$51,B20),"")</f>
        <v/>
      </c>
      <c r="F20" s="4"/>
    </row>
    <row r="21" ht="15.0" customHeight="1">
      <c r="A21" s="7" t="s">
        <v>95</v>
      </c>
      <c r="B21" s="7" t="s">
        <v>21</v>
      </c>
      <c r="C21" s="19">
        <f>COUNTIFS(Raw_Data!$D$2:$D$51,A21,Raw_Data!$E$2:$E$51,B21)</f>
        <v>2</v>
      </c>
      <c r="D21" s="18">
        <f>IFERROR(AVERAGEIFS(Raw_Data!$F$2:$F$51,Raw_Data!$D$2:$D$51,A21,Raw_Data!$E$2:$E$51,B21),"")</f>
        <v>48.5</v>
      </c>
      <c r="E21" s="18">
        <f>IFERROR(AVERAGEIFS(Raw_Data!$G$2:$G$51,Raw_Data!$D$2:$D$51,A21,Raw_Data!$E$2:$E$51,B21),"")</f>
        <v>5.15</v>
      </c>
      <c r="F21" s="4"/>
    </row>
    <row r="22" ht="15.0" customHeight="1">
      <c r="A22" s="7" t="s">
        <v>95</v>
      </c>
      <c r="B22" s="7" t="s">
        <v>44</v>
      </c>
      <c r="C22" s="19">
        <f>COUNTIFS(Raw_Data!$D$2:$D$51,A22,Raw_Data!$E$2:$E$51,B22)</f>
        <v>3</v>
      </c>
      <c r="D22" s="18">
        <f>IFERROR(AVERAGEIFS(Raw_Data!$F$2:$F$51,Raw_Data!$D$2:$D$51,A22,Raw_Data!$E$2:$E$51,B22),"")</f>
        <v>115.3333333</v>
      </c>
      <c r="E22" s="18">
        <f>IFERROR(AVERAGEIFS(Raw_Data!$G$2:$G$51,Raw_Data!$D$2:$D$51,A22,Raw_Data!$E$2:$E$51,B22),"")</f>
        <v>7.033333333</v>
      </c>
      <c r="F22" s="4"/>
    </row>
    <row r="23" ht="15.0" customHeight="1">
      <c r="A23" s="7" t="s">
        <v>95</v>
      </c>
      <c r="B23" s="7" t="s">
        <v>35</v>
      </c>
      <c r="C23" s="19">
        <f>COUNTIFS(Raw_Data!$D$2:$D$51,A23,Raw_Data!$E$2:$E$51,B23)</f>
        <v>4</v>
      </c>
      <c r="D23" s="18">
        <f>IFERROR(AVERAGEIFS(Raw_Data!$F$2:$F$51,Raw_Data!$D$2:$D$51,A23,Raw_Data!$E$2:$E$51,B23),"")</f>
        <v>24.5</v>
      </c>
      <c r="E23" s="18">
        <f>IFERROR(AVERAGEIFS(Raw_Data!$G$2:$G$51,Raw_Data!$D$2:$D$51,A23,Raw_Data!$E$2:$E$51,B23),"")</f>
        <v>6.9</v>
      </c>
      <c r="F23" s="4"/>
    </row>
    <row r="24" ht="15.0" customHeight="1">
      <c r="A24" s="7" t="s">
        <v>95</v>
      </c>
      <c r="B24" s="7" t="s">
        <v>136</v>
      </c>
      <c r="C24" s="19">
        <f>COUNTIFS(Raw_Data!$D$2:$D$51,A24,Raw_Data!$E$2:$E$51,B24)</f>
        <v>0</v>
      </c>
      <c r="D24" s="18" t="str">
        <f>IFERROR(AVERAGEIFS(Raw_Data!$F$2:$F$51,Raw_Data!$D$2:$D$51,A24,Raw_Data!$E$2:$E$51,B24),"")</f>
        <v/>
      </c>
      <c r="E24" s="18" t="str">
        <f>IFERROR(AVERAGEIFS(Raw_Data!$G$2:$G$51,Raw_Data!$D$2:$D$51,A24,Raw_Data!$E$2:$E$51,B24),"")</f>
        <v/>
      </c>
      <c r="F24" s="4"/>
    </row>
    <row r="25" ht="15.0" customHeight="1">
      <c r="A25" s="7" t="s">
        <v>203</v>
      </c>
      <c r="B25" s="7"/>
      <c r="C25" s="7">
        <f>SUM(C5:C24)</f>
        <v>50</v>
      </c>
      <c r="D25" s="23">
        <f>AVERAGE(Raw_Data!$F$2:$F$51)</f>
        <v>55.5</v>
      </c>
      <c r="E25" s="23">
        <f>AVERAGE(Raw_Data!$G$2:$G$51)</f>
        <v>6.532</v>
      </c>
      <c r="F25" s="4"/>
    </row>
    <row r="26" ht="15.75" customHeight="1">
      <c r="A26" s="6"/>
      <c r="B26" s="6"/>
      <c r="C26" s="6"/>
      <c r="D26" s="6"/>
      <c r="E26" s="6"/>
      <c r="F26" s="4"/>
    </row>
    <row r="27" ht="15.75" customHeight="1">
      <c r="A27" s="6"/>
      <c r="B27" s="6"/>
      <c r="C27" s="6"/>
      <c r="D27" s="6"/>
      <c r="E27" s="6"/>
      <c r="F27" s="4"/>
    </row>
    <row r="28" ht="15.75" customHeight="1">
      <c r="A28" s="6"/>
      <c r="B28" s="6"/>
      <c r="C28" s="6"/>
      <c r="D28" s="6"/>
      <c r="E28" s="6"/>
      <c r="F28" s="4"/>
    </row>
    <row r="29" ht="15.75" customHeight="1">
      <c r="A29" s="6"/>
      <c r="B29" s="6"/>
      <c r="C29" s="6"/>
      <c r="D29" s="6"/>
      <c r="E29" s="6"/>
      <c r="F29" s="4"/>
    </row>
    <row r="30" ht="15.75" customHeight="1">
      <c r="A30" s="6"/>
      <c r="B30" s="6"/>
      <c r="C30" s="6"/>
      <c r="D30" s="6"/>
      <c r="E30" s="6"/>
      <c r="F30" s="4"/>
    </row>
    <row r="31" ht="15.75" customHeight="1">
      <c r="A31" s="6"/>
      <c r="B31" s="6"/>
      <c r="C31" s="6"/>
      <c r="D31" s="6"/>
      <c r="E31" s="6"/>
      <c r="F31" s="4"/>
    </row>
    <row r="32" ht="15.75" customHeight="1">
      <c r="A32" s="6"/>
      <c r="B32" s="6"/>
      <c r="C32" s="6"/>
      <c r="D32" s="6"/>
      <c r="E32" s="6"/>
      <c r="F32" s="4"/>
    </row>
    <row r="33" ht="15.75" customHeight="1">
      <c r="A33" s="6"/>
      <c r="B33" s="6"/>
      <c r="C33" s="6"/>
      <c r="D33" s="6"/>
      <c r="E33" s="6"/>
      <c r="F33" s="4"/>
    </row>
    <row r="34" ht="15.75" customHeight="1">
      <c r="A34" s="6"/>
      <c r="B34" s="6"/>
      <c r="C34" s="6"/>
      <c r="D34" s="6"/>
      <c r="E34" s="6"/>
      <c r="F34" s="4"/>
    </row>
    <row r="35" ht="15.75" customHeight="1">
      <c r="A35" s="6"/>
      <c r="B35" s="6"/>
      <c r="C35" s="6"/>
      <c r="D35" s="6"/>
      <c r="E35" s="6"/>
      <c r="F35" s="4"/>
    </row>
    <row r="36" ht="15.75" customHeight="1">
      <c r="A36" s="6"/>
      <c r="B36" s="6"/>
      <c r="C36" s="6"/>
      <c r="D36" s="6"/>
      <c r="E36" s="6"/>
      <c r="F36" s="4"/>
    </row>
    <row r="37" ht="15.75" customHeight="1">
      <c r="A37" s="6"/>
      <c r="B37" s="6"/>
      <c r="C37" s="6"/>
      <c r="D37" s="6"/>
      <c r="E37" s="6"/>
      <c r="F37" s="4"/>
    </row>
    <row r="38" ht="15.75" customHeight="1">
      <c r="A38" s="6"/>
      <c r="B38" s="6"/>
      <c r="C38" s="6"/>
      <c r="D38" s="6"/>
      <c r="E38" s="6"/>
      <c r="F38" s="4"/>
    </row>
    <row r="39" ht="15.75" customHeight="1">
      <c r="A39" s="6"/>
      <c r="B39" s="6"/>
      <c r="C39" s="6"/>
      <c r="D39" s="6"/>
      <c r="E39" s="6"/>
      <c r="F39" s="4"/>
    </row>
    <row r="40" ht="15.75" customHeight="1">
      <c r="A40" s="6"/>
      <c r="B40" s="6"/>
      <c r="C40" s="6"/>
      <c r="D40" s="6"/>
      <c r="E40" s="6"/>
      <c r="F40" s="4"/>
    </row>
    <row r="41" ht="15.75" customHeight="1">
      <c r="A41" s="6"/>
      <c r="B41" s="6"/>
      <c r="C41" s="6"/>
      <c r="D41" s="6"/>
      <c r="E41" s="6"/>
      <c r="F41" s="4"/>
    </row>
    <row r="42" ht="15.75" customHeight="1">
      <c r="A42" s="6"/>
      <c r="B42" s="6"/>
      <c r="C42" s="6"/>
      <c r="D42" s="6"/>
      <c r="E42" s="6"/>
      <c r="F42" s="4"/>
    </row>
    <row r="43" ht="15.75" customHeight="1">
      <c r="A43" s="6"/>
      <c r="B43" s="6"/>
      <c r="C43" s="6"/>
      <c r="D43" s="6"/>
      <c r="E43" s="6"/>
      <c r="F43" s="4"/>
    </row>
    <row r="44" ht="15.75" customHeight="1">
      <c r="A44" s="6"/>
      <c r="B44" s="6"/>
      <c r="C44" s="6"/>
      <c r="D44" s="6"/>
      <c r="E44" s="6"/>
      <c r="F44" s="4"/>
    </row>
    <row r="45" ht="15.75" customHeight="1">
      <c r="A45" s="6"/>
      <c r="B45" s="6"/>
      <c r="C45" s="6"/>
      <c r="D45" s="6"/>
      <c r="E45" s="6"/>
      <c r="F45" s="4"/>
    </row>
    <row r="46" ht="15.75" customHeight="1">
      <c r="A46" s="6"/>
      <c r="B46" s="6"/>
      <c r="C46" s="6"/>
      <c r="D46" s="6"/>
      <c r="E46" s="6"/>
      <c r="F46" s="4"/>
    </row>
    <row r="47" ht="15.75" customHeight="1">
      <c r="A47" s="6"/>
      <c r="B47" s="6"/>
      <c r="C47" s="6"/>
      <c r="D47" s="6"/>
      <c r="E47" s="6"/>
      <c r="F47" s="4"/>
    </row>
    <row r="48" ht="15.75" customHeight="1">
      <c r="A48" s="6"/>
      <c r="B48" s="6"/>
      <c r="C48" s="6"/>
      <c r="D48" s="6"/>
      <c r="E48" s="6"/>
      <c r="F48" s="4"/>
    </row>
    <row r="49" ht="15.75" customHeight="1">
      <c r="A49" s="6"/>
      <c r="B49" s="6"/>
      <c r="C49" s="6"/>
      <c r="D49" s="6"/>
      <c r="E49" s="6"/>
      <c r="F49" s="4"/>
    </row>
    <row r="50" ht="15.75" customHeight="1">
      <c r="A50" s="6"/>
      <c r="B50" s="6"/>
      <c r="C50" s="6"/>
      <c r="D50" s="6"/>
      <c r="E50" s="6"/>
      <c r="F50" s="4"/>
    </row>
    <row r="51" ht="15.75" customHeight="1">
      <c r="A51" s="6"/>
      <c r="B51" s="6"/>
      <c r="C51" s="6"/>
      <c r="D51" s="6"/>
      <c r="E51" s="6"/>
      <c r="F51" s="4"/>
    </row>
    <row r="52" ht="15.75" customHeight="1">
      <c r="A52" s="6"/>
      <c r="B52" s="6"/>
      <c r="C52" s="6"/>
      <c r="D52" s="6"/>
      <c r="E52" s="6"/>
      <c r="F52" s="4"/>
    </row>
    <row r="53" ht="15.75" customHeight="1">
      <c r="A53" s="6"/>
      <c r="B53" s="6"/>
      <c r="C53" s="6"/>
      <c r="D53" s="6"/>
      <c r="E53" s="6"/>
      <c r="F53" s="4"/>
    </row>
    <row r="54" ht="15.75" customHeight="1">
      <c r="A54" s="6"/>
      <c r="B54" s="6"/>
      <c r="C54" s="6"/>
      <c r="D54" s="6"/>
      <c r="E54" s="6"/>
      <c r="F54" s="4"/>
    </row>
    <row r="55" ht="15.75" customHeight="1">
      <c r="A55" s="6"/>
      <c r="B55" s="6"/>
      <c r="C55" s="6"/>
      <c r="D55" s="6"/>
      <c r="E55" s="6"/>
      <c r="F55" s="4"/>
    </row>
    <row r="56" ht="15.75" customHeight="1">
      <c r="A56" s="6"/>
      <c r="B56" s="6"/>
      <c r="C56" s="6"/>
      <c r="D56" s="6"/>
      <c r="E56" s="6"/>
      <c r="F56" s="4"/>
    </row>
    <row r="57" ht="15.75" customHeight="1">
      <c r="A57" s="6"/>
      <c r="B57" s="6"/>
      <c r="C57" s="6"/>
      <c r="D57" s="6"/>
      <c r="E57" s="6"/>
      <c r="F57" s="4"/>
    </row>
    <row r="58" ht="15.75" customHeight="1">
      <c r="A58" s="6"/>
      <c r="B58" s="6"/>
      <c r="C58" s="6"/>
      <c r="D58" s="6"/>
      <c r="E58" s="6"/>
      <c r="F58" s="4"/>
    </row>
    <row r="59" ht="15.75" customHeight="1">
      <c r="A59" s="6"/>
      <c r="B59" s="6"/>
      <c r="C59" s="6"/>
      <c r="D59" s="6"/>
      <c r="E59" s="6"/>
      <c r="F59" s="4"/>
    </row>
    <row r="60" ht="15.75" customHeight="1">
      <c r="A60" s="6"/>
      <c r="B60" s="6"/>
      <c r="C60" s="6"/>
      <c r="D60" s="6"/>
      <c r="E60" s="6"/>
      <c r="F60" s="4"/>
    </row>
    <row r="61" ht="15.75" customHeight="1">
      <c r="A61" s="6"/>
      <c r="B61" s="6"/>
      <c r="C61" s="6"/>
      <c r="D61" s="6"/>
      <c r="E61" s="6"/>
      <c r="F61" s="4"/>
    </row>
    <row r="62" ht="15.75" customHeight="1">
      <c r="A62" s="6"/>
      <c r="B62" s="6"/>
      <c r="C62" s="6"/>
      <c r="D62" s="6"/>
      <c r="E62" s="6"/>
      <c r="F62" s="4"/>
    </row>
    <row r="63" ht="15.75" customHeight="1">
      <c r="A63" s="6"/>
      <c r="B63" s="6"/>
      <c r="C63" s="6"/>
      <c r="D63" s="6"/>
      <c r="E63" s="6"/>
      <c r="F63" s="4"/>
    </row>
    <row r="64" ht="15.75" customHeight="1">
      <c r="A64" s="6"/>
      <c r="B64" s="6"/>
      <c r="C64" s="6"/>
      <c r="D64" s="6"/>
      <c r="E64" s="6"/>
      <c r="F64" s="4"/>
    </row>
    <row r="65" ht="15.75" customHeight="1">
      <c r="A65" s="6"/>
      <c r="B65" s="6"/>
      <c r="C65" s="6"/>
      <c r="D65" s="6"/>
      <c r="E65" s="6"/>
      <c r="F65" s="4"/>
    </row>
    <row r="66" ht="15.75" customHeight="1">
      <c r="A66" s="6"/>
      <c r="B66" s="6"/>
      <c r="C66" s="6"/>
      <c r="D66" s="6"/>
      <c r="E66" s="6"/>
      <c r="F66" s="4"/>
    </row>
    <row r="67" ht="15.75" customHeight="1">
      <c r="A67" s="6"/>
      <c r="B67" s="6"/>
      <c r="C67" s="6"/>
      <c r="D67" s="6"/>
      <c r="E67" s="6"/>
      <c r="F67" s="4"/>
    </row>
    <row r="68" ht="15.75" customHeight="1">
      <c r="A68" s="6"/>
      <c r="B68" s="6"/>
      <c r="C68" s="6"/>
      <c r="D68" s="6"/>
      <c r="E68" s="6"/>
      <c r="F68" s="4"/>
    </row>
    <row r="69" ht="15.75" customHeight="1">
      <c r="A69" s="6"/>
      <c r="B69" s="6"/>
      <c r="C69" s="6"/>
      <c r="D69" s="6"/>
      <c r="E69" s="6"/>
      <c r="F69" s="4"/>
    </row>
    <row r="70" ht="15.75" customHeight="1">
      <c r="A70" s="6"/>
      <c r="B70" s="6"/>
      <c r="C70" s="6"/>
      <c r="D70" s="6"/>
      <c r="E70" s="6"/>
      <c r="F70" s="4"/>
    </row>
    <row r="71" ht="15.75" customHeight="1">
      <c r="A71" s="6"/>
      <c r="B71" s="6"/>
      <c r="C71" s="6"/>
      <c r="D71" s="6"/>
      <c r="E71" s="6"/>
      <c r="F71" s="4"/>
    </row>
    <row r="72" ht="15.75" customHeight="1">
      <c r="A72" s="6"/>
      <c r="B72" s="6"/>
      <c r="C72" s="6"/>
      <c r="D72" s="6"/>
      <c r="E72" s="6"/>
      <c r="F72" s="4"/>
    </row>
    <row r="73" ht="15.75" customHeight="1">
      <c r="A73" s="6"/>
      <c r="B73" s="6"/>
      <c r="C73" s="6"/>
      <c r="D73" s="6"/>
      <c r="E73" s="6"/>
      <c r="F73" s="4"/>
    </row>
    <row r="74" ht="15.75" customHeight="1">
      <c r="A74" s="6"/>
      <c r="B74" s="6"/>
      <c r="C74" s="6"/>
      <c r="D74" s="6"/>
      <c r="E74" s="6"/>
      <c r="F74" s="4"/>
    </row>
    <row r="75" ht="15.75" customHeight="1">
      <c r="A75" s="6"/>
      <c r="B75" s="6"/>
      <c r="C75" s="6"/>
      <c r="D75" s="6"/>
      <c r="E75" s="6"/>
      <c r="F75" s="4"/>
    </row>
    <row r="76" ht="15.75" customHeight="1">
      <c r="A76" s="6"/>
      <c r="B76" s="6"/>
      <c r="C76" s="6"/>
      <c r="D76" s="6"/>
      <c r="E76" s="6"/>
      <c r="F76" s="4"/>
    </row>
    <row r="77" ht="15.75" customHeight="1">
      <c r="A77" s="6"/>
      <c r="B77" s="6"/>
      <c r="C77" s="6"/>
      <c r="D77" s="6"/>
      <c r="E77" s="6"/>
      <c r="F77" s="4"/>
    </row>
    <row r="78" ht="15.75" customHeight="1">
      <c r="A78" s="6"/>
      <c r="B78" s="6"/>
      <c r="C78" s="6"/>
      <c r="D78" s="6"/>
      <c r="E78" s="6"/>
      <c r="F78" s="4"/>
    </row>
    <row r="79" ht="15.75" customHeight="1">
      <c r="A79" s="6"/>
      <c r="B79" s="6"/>
      <c r="C79" s="6"/>
      <c r="D79" s="6"/>
      <c r="E79" s="6"/>
      <c r="F79" s="4"/>
    </row>
    <row r="80" ht="15.75" customHeight="1">
      <c r="A80" s="6"/>
      <c r="B80" s="6"/>
      <c r="C80" s="6"/>
      <c r="D80" s="6"/>
      <c r="E80" s="6"/>
      <c r="F80" s="4"/>
    </row>
    <row r="81" ht="15.75" customHeight="1">
      <c r="A81" s="6"/>
      <c r="B81" s="6"/>
      <c r="C81" s="6"/>
      <c r="D81" s="6"/>
      <c r="E81" s="6"/>
      <c r="F81" s="4"/>
    </row>
    <row r="82" ht="15.75" customHeight="1">
      <c r="A82" s="6"/>
      <c r="B82" s="6"/>
      <c r="C82" s="6"/>
      <c r="D82" s="6"/>
      <c r="E82" s="6"/>
      <c r="F82" s="4"/>
    </row>
    <row r="83" ht="15.75" customHeight="1">
      <c r="A83" s="6"/>
      <c r="B83" s="6"/>
      <c r="C83" s="6"/>
      <c r="D83" s="6"/>
      <c r="E83" s="6"/>
      <c r="F83" s="4"/>
    </row>
    <row r="84" ht="15.75" customHeight="1">
      <c r="A84" s="6"/>
      <c r="B84" s="6"/>
      <c r="C84" s="6"/>
      <c r="D84" s="6"/>
      <c r="E84" s="6"/>
      <c r="F84" s="4"/>
    </row>
    <row r="85" ht="15.75" customHeight="1">
      <c r="A85" s="6"/>
      <c r="B85" s="6"/>
      <c r="C85" s="6"/>
      <c r="D85" s="6"/>
      <c r="E85" s="6"/>
      <c r="F85" s="4"/>
    </row>
    <row r="86" ht="15.75" customHeight="1">
      <c r="A86" s="6"/>
      <c r="B86" s="6"/>
      <c r="C86" s="6"/>
      <c r="D86" s="6"/>
      <c r="E86" s="6"/>
      <c r="F86" s="4"/>
    </row>
    <row r="87" ht="15.75" customHeight="1">
      <c r="A87" s="6"/>
      <c r="B87" s="6"/>
      <c r="C87" s="6"/>
      <c r="D87" s="6"/>
      <c r="E87" s="6"/>
      <c r="F87" s="4"/>
    </row>
    <row r="88" ht="15.75" customHeight="1">
      <c r="A88" s="6"/>
      <c r="B88" s="6"/>
      <c r="C88" s="6"/>
      <c r="D88" s="6"/>
      <c r="E88" s="6"/>
      <c r="F88" s="4"/>
    </row>
    <row r="89" ht="15.75" customHeight="1">
      <c r="A89" s="6"/>
      <c r="B89" s="6"/>
      <c r="C89" s="6"/>
      <c r="D89" s="6"/>
      <c r="E89" s="6"/>
      <c r="F89" s="4"/>
    </row>
    <row r="90" ht="15.75" customHeight="1">
      <c r="A90" s="6"/>
      <c r="B90" s="6"/>
      <c r="C90" s="6"/>
      <c r="D90" s="6"/>
      <c r="E90" s="6"/>
      <c r="F90" s="4"/>
    </row>
    <row r="91" ht="15.75" customHeight="1">
      <c r="A91" s="6"/>
      <c r="B91" s="6"/>
      <c r="C91" s="6"/>
      <c r="D91" s="6"/>
      <c r="E91" s="6"/>
      <c r="F91" s="4"/>
    </row>
    <row r="92" ht="15.75" customHeight="1">
      <c r="A92" s="6"/>
      <c r="B92" s="6"/>
      <c r="C92" s="6"/>
      <c r="D92" s="6"/>
      <c r="E92" s="6"/>
      <c r="F92" s="4"/>
    </row>
    <row r="93" ht="15.75" customHeight="1">
      <c r="A93" s="6"/>
      <c r="B93" s="6"/>
      <c r="C93" s="6"/>
      <c r="D93" s="6"/>
      <c r="E93" s="6"/>
      <c r="F93" s="4"/>
    </row>
    <row r="94" ht="15.75" customHeight="1">
      <c r="A94" s="6"/>
      <c r="B94" s="6"/>
      <c r="C94" s="6"/>
      <c r="D94" s="6"/>
      <c r="E94" s="6"/>
      <c r="F94" s="4"/>
    </row>
    <row r="95" ht="15.75" customHeight="1">
      <c r="A95" s="6"/>
      <c r="B95" s="6"/>
      <c r="C95" s="6"/>
      <c r="D95" s="6"/>
      <c r="E95" s="6"/>
      <c r="F95" s="4"/>
    </row>
    <row r="96" ht="15.75" customHeight="1">
      <c r="A96" s="6"/>
      <c r="B96" s="6"/>
      <c r="C96" s="6"/>
      <c r="D96" s="6"/>
      <c r="E96" s="6"/>
      <c r="F96" s="4"/>
    </row>
    <row r="97" ht="15.75" customHeight="1">
      <c r="A97" s="6"/>
      <c r="B97" s="6"/>
      <c r="C97" s="6"/>
      <c r="D97" s="6"/>
      <c r="E97" s="6"/>
      <c r="F97" s="4"/>
    </row>
    <row r="98" ht="15.75" customHeight="1">
      <c r="A98" s="6"/>
      <c r="B98" s="6"/>
      <c r="C98" s="6"/>
      <c r="D98" s="6"/>
      <c r="E98" s="6"/>
      <c r="F98" s="4"/>
    </row>
    <row r="99" ht="15.75" customHeight="1">
      <c r="A99" s="6"/>
      <c r="B99" s="6"/>
      <c r="C99" s="6"/>
      <c r="D99" s="6"/>
      <c r="E99" s="6"/>
      <c r="F99" s="4"/>
    </row>
    <row r="100" ht="15.75" customHeight="1">
      <c r="A100" s="6"/>
      <c r="B100" s="6"/>
      <c r="C100" s="6"/>
      <c r="D100" s="6"/>
      <c r="E100" s="6"/>
      <c r="F100" s="4"/>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6" width="8.63"/>
    <col customWidth="1" min="7" max="26" width="14.38"/>
  </cols>
  <sheetData>
    <row r="1" ht="15.75" customHeight="1">
      <c r="A1" s="24" t="s">
        <v>204</v>
      </c>
      <c r="B1" s="4"/>
      <c r="C1" s="4"/>
      <c r="D1" s="4"/>
      <c r="E1" s="4"/>
      <c r="F1" s="4"/>
    </row>
    <row r="2">
      <c r="A2" s="4"/>
      <c r="B2" s="4"/>
      <c r="C2" s="4"/>
      <c r="D2" s="4"/>
      <c r="E2" s="4"/>
      <c r="F2" s="4"/>
    </row>
    <row r="3">
      <c r="A3" s="4"/>
      <c r="B3" s="4"/>
      <c r="C3" s="4"/>
      <c r="D3" s="4"/>
      <c r="E3" s="4"/>
      <c r="F3" s="4"/>
    </row>
    <row r="4">
      <c r="A4" s="4"/>
      <c r="B4" s="4"/>
      <c r="C4" s="4"/>
      <c r="D4" s="4"/>
      <c r="E4" s="4"/>
      <c r="F4" s="4"/>
    </row>
    <row r="5">
      <c r="A5" s="4"/>
      <c r="B5" s="4"/>
      <c r="C5" s="4"/>
      <c r="D5" s="4"/>
      <c r="E5" s="4"/>
      <c r="F5" s="4"/>
    </row>
    <row r="6">
      <c r="A6" s="4"/>
      <c r="B6" s="4"/>
      <c r="C6" s="4"/>
      <c r="D6" s="4"/>
      <c r="E6" s="4"/>
      <c r="F6" s="4"/>
    </row>
    <row r="7">
      <c r="A7" s="4"/>
      <c r="B7" s="4"/>
      <c r="C7" s="4"/>
      <c r="D7" s="4"/>
      <c r="E7" s="4"/>
      <c r="F7" s="4"/>
    </row>
    <row r="8">
      <c r="A8" s="4"/>
      <c r="B8" s="4"/>
      <c r="C8" s="4"/>
      <c r="D8" s="4"/>
      <c r="E8" s="4"/>
      <c r="F8" s="4"/>
    </row>
    <row r="9">
      <c r="A9" s="4"/>
      <c r="B9" s="4"/>
      <c r="C9" s="4"/>
      <c r="D9" s="4"/>
      <c r="E9" s="4"/>
      <c r="F9" s="4"/>
    </row>
    <row r="10">
      <c r="A10" s="4"/>
      <c r="B10" s="4"/>
      <c r="C10" s="4"/>
      <c r="D10" s="4"/>
      <c r="E10" s="4"/>
      <c r="F10" s="4"/>
    </row>
    <row r="11">
      <c r="A11" s="4"/>
      <c r="B11" s="4"/>
      <c r="C11" s="4"/>
      <c r="D11" s="4"/>
      <c r="E11" s="4"/>
      <c r="F11" s="4"/>
    </row>
    <row r="12">
      <c r="A12" s="4"/>
      <c r="B12" s="4"/>
      <c r="C12" s="4"/>
      <c r="D12" s="4"/>
      <c r="E12" s="4"/>
      <c r="F12" s="4"/>
    </row>
    <row r="13">
      <c r="A13" s="4"/>
      <c r="B13" s="4"/>
      <c r="C13" s="4"/>
      <c r="D13" s="4"/>
      <c r="E13" s="4"/>
      <c r="F13" s="4"/>
    </row>
    <row r="14">
      <c r="A14" s="4"/>
      <c r="B14" s="4"/>
      <c r="C14" s="4"/>
      <c r="D14" s="4"/>
      <c r="E14" s="4"/>
      <c r="F14" s="4"/>
    </row>
    <row r="15">
      <c r="A15" s="4"/>
      <c r="B15" s="4"/>
      <c r="C15" s="4"/>
      <c r="D15" s="4"/>
      <c r="E15" s="4"/>
      <c r="F15" s="4"/>
    </row>
    <row r="16">
      <c r="A16" s="4"/>
      <c r="B16" s="4"/>
      <c r="C16" s="4"/>
      <c r="D16" s="4"/>
      <c r="E16" s="4"/>
      <c r="F16" s="4"/>
    </row>
    <row r="17">
      <c r="A17" s="4"/>
      <c r="B17" s="4"/>
      <c r="C17" s="4"/>
      <c r="D17" s="4"/>
      <c r="E17" s="4"/>
      <c r="F17" s="4"/>
    </row>
    <row r="18">
      <c r="A18" s="4"/>
      <c r="B18" s="4"/>
      <c r="C18" s="4"/>
      <c r="D18" s="4"/>
      <c r="E18" s="4"/>
      <c r="F18" s="4"/>
    </row>
    <row r="19">
      <c r="A19" s="4"/>
      <c r="B19" s="4"/>
      <c r="C19" s="4"/>
      <c r="D19" s="4"/>
      <c r="E19" s="4"/>
      <c r="F19" s="4"/>
    </row>
    <row r="20">
      <c r="A20" s="4"/>
      <c r="B20" s="4"/>
      <c r="C20" s="4"/>
      <c r="D20" s="4"/>
      <c r="E20" s="4"/>
      <c r="F20" s="4"/>
    </row>
    <row r="21" ht="15.75" customHeight="1">
      <c r="A21" s="4"/>
      <c r="B21" s="4"/>
      <c r="C21" s="4"/>
      <c r="D21" s="4"/>
      <c r="E21" s="4"/>
      <c r="F21" s="4"/>
    </row>
    <row r="22" ht="15.75" customHeight="1">
      <c r="A22" s="4"/>
      <c r="B22" s="4"/>
      <c r="C22" s="4"/>
      <c r="D22" s="4"/>
      <c r="E22" s="4"/>
      <c r="F22" s="4"/>
    </row>
    <row r="23" ht="15.75" customHeight="1">
      <c r="A23" s="4"/>
      <c r="B23" s="4"/>
      <c r="C23" s="4"/>
      <c r="D23" s="4"/>
      <c r="E23" s="4"/>
      <c r="F23" s="4"/>
    </row>
    <row r="24" ht="15.75" customHeight="1">
      <c r="A24" s="4"/>
      <c r="B24" s="4"/>
      <c r="C24" s="4"/>
      <c r="D24" s="4"/>
      <c r="E24" s="4"/>
      <c r="F24" s="4"/>
    </row>
    <row r="25" ht="15.75" customHeight="1">
      <c r="A25" s="4"/>
      <c r="B25" s="4"/>
      <c r="C25" s="4"/>
      <c r="D25" s="4"/>
      <c r="E25" s="4"/>
      <c r="F25" s="4"/>
    </row>
    <row r="26" ht="15.75" customHeight="1">
      <c r="A26" s="4"/>
      <c r="B26" s="4"/>
      <c r="C26" s="4"/>
      <c r="D26" s="4"/>
      <c r="E26" s="4"/>
      <c r="F26" s="4"/>
    </row>
    <row r="27" ht="15.75" customHeight="1">
      <c r="A27" s="4"/>
      <c r="B27" s="4"/>
      <c r="C27" s="4"/>
      <c r="D27" s="4"/>
      <c r="E27" s="4"/>
      <c r="F27" s="4"/>
    </row>
    <row r="28" ht="15.75" customHeight="1">
      <c r="A28" s="4"/>
      <c r="B28" s="4"/>
      <c r="C28" s="4"/>
      <c r="D28" s="4"/>
      <c r="E28" s="4"/>
      <c r="F28" s="4"/>
    </row>
    <row r="29" ht="15.75" customHeight="1">
      <c r="A29" s="4"/>
      <c r="B29" s="4"/>
      <c r="C29" s="4"/>
      <c r="D29" s="4"/>
      <c r="E29" s="4"/>
      <c r="F29" s="4"/>
    </row>
    <row r="30" ht="15.75" customHeight="1">
      <c r="A30" s="4"/>
      <c r="B30" s="4"/>
      <c r="C30" s="4"/>
      <c r="D30" s="4"/>
      <c r="E30" s="4"/>
      <c r="F30" s="4"/>
    </row>
    <row r="31" ht="15.75" customHeight="1">
      <c r="A31" s="4"/>
      <c r="B31" s="4"/>
      <c r="C31" s="4"/>
      <c r="D31" s="4"/>
      <c r="E31" s="4"/>
      <c r="F31" s="4"/>
    </row>
    <row r="32" ht="15.75" customHeight="1">
      <c r="A32" s="4"/>
      <c r="B32" s="4"/>
      <c r="C32" s="4"/>
      <c r="D32" s="4"/>
      <c r="E32" s="4"/>
      <c r="F32" s="4"/>
    </row>
    <row r="33" ht="15.75" customHeight="1">
      <c r="A33" s="4"/>
      <c r="B33" s="4"/>
      <c r="C33" s="4"/>
      <c r="D33" s="4"/>
      <c r="E33" s="4"/>
      <c r="F33" s="4"/>
    </row>
    <row r="34" ht="15.75" customHeight="1">
      <c r="A34" s="4"/>
      <c r="B34" s="4"/>
      <c r="C34" s="4"/>
      <c r="D34" s="4"/>
      <c r="E34" s="4"/>
      <c r="F34" s="4"/>
    </row>
    <row r="35" ht="15.75" customHeight="1">
      <c r="A35" s="4"/>
      <c r="B35" s="4"/>
      <c r="C35" s="4"/>
      <c r="D35" s="4"/>
      <c r="E35" s="4"/>
      <c r="F35" s="4"/>
    </row>
    <row r="36" ht="15.75" customHeight="1">
      <c r="A36" s="4"/>
      <c r="B36" s="4"/>
      <c r="C36" s="4"/>
      <c r="D36" s="4"/>
      <c r="E36" s="4"/>
      <c r="F36" s="4"/>
    </row>
    <row r="37" ht="15.75" customHeight="1">
      <c r="A37" s="4"/>
      <c r="B37" s="4"/>
      <c r="C37" s="4"/>
      <c r="D37" s="4"/>
      <c r="E37" s="4"/>
      <c r="F37" s="4"/>
    </row>
    <row r="38" ht="15.75" customHeight="1">
      <c r="A38" s="4"/>
      <c r="B38" s="4"/>
      <c r="C38" s="4"/>
      <c r="D38" s="4"/>
      <c r="E38" s="4"/>
      <c r="F38" s="4"/>
    </row>
    <row r="39" ht="15.75" customHeight="1">
      <c r="A39" s="4"/>
      <c r="B39" s="4"/>
      <c r="C39" s="4"/>
      <c r="D39" s="4"/>
      <c r="E39" s="4"/>
      <c r="F39" s="4"/>
    </row>
    <row r="40" ht="15.75" customHeight="1">
      <c r="A40" s="4"/>
      <c r="B40" s="4"/>
      <c r="C40" s="4"/>
      <c r="D40" s="4"/>
      <c r="E40" s="4"/>
      <c r="F40" s="4"/>
    </row>
    <row r="41" ht="15.75" customHeight="1">
      <c r="A41" s="4"/>
      <c r="B41" s="4"/>
      <c r="C41" s="4"/>
      <c r="D41" s="4"/>
      <c r="E41" s="4"/>
      <c r="F41" s="4"/>
    </row>
    <row r="42" ht="15.75" customHeight="1">
      <c r="A42" s="4"/>
      <c r="B42" s="4"/>
      <c r="C42" s="4"/>
      <c r="D42" s="4"/>
      <c r="E42" s="4"/>
      <c r="F42" s="4"/>
    </row>
    <row r="43" ht="15.75" customHeight="1">
      <c r="A43" s="4"/>
      <c r="B43" s="4"/>
      <c r="C43" s="4"/>
      <c r="D43" s="4"/>
      <c r="E43" s="4"/>
      <c r="F43" s="4"/>
    </row>
    <row r="44" ht="15.75" customHeight="1">
      <c r="A44" s="4"/>
      <c r="B44" s="4"/>
      <c r="C44" s="4"/>
      <c r="D44" s="4"/>
      <c r="E44" s="4"/>
      <c r="F44" s="4"/>
    </row>
    <row r="45" ht="15.75" customHeight="1">
      <c r="A45" s="4"/>
      <c r="B45" s="4"/>
      <c r="C45" s="4"/>
      <c r="D45" s="4"/>
      <c r="E45" s="4"/>
      <c r="F45" s="4"/>
    </row>
    <row r="46" ht="15.75" customHeight="1">
      <c r="A46" s="4"/>
      <c r="B46" s="4"/>
      <c r="C46" s="4"/>
      <c r="D46" s="4"/>
      <c r="E46" s="4"/>
      <c r="F46" s="4"/>
    </row>
    <row r="47" ht="15.75" customHeight="1">
      <c r="A47" s="4"/>
      <c r="B47" s="4"/>
      <c r="C47" s="4"/>
      <c r="D47" s="4"/>
      <c r="E47" s="4"/>
      <c r="F47" s="4"/>
    </row>
    <row r="48" ht="15.75" customHeight="1">
      <c r="A48" s="4"/>
      <c r="B48" s="4"/>
      <c r="C48" s="4"/>
      <c r="D48" s="4"/>
      <c r="E48" s="4"/>
      <c r="F48" s="4"/>
    </row>
    <row r="49" ht="15.75" customHeight="1">
      <c r="A49" s="4"/>
      <c r="B49" s="4"/>
      <c r="C49" s="4"/>
      <c r="D49" s="4"/>
      <c r="E49" s="4"/>
      <c r="F49" s="4"/>
    </row>
    <row r="50" ht="15.75" customHeight="1">
      <c r="A50" s="4"/>
      <c r="B50" s="4"/>
      <c r="C50" s="4"/>
      <c r="D50" s="4"/>
      <c r="E50" s="4"/>
      <c r="F50" s="4"/>
    </row>
    <row r="51" ht="15.75" customHeight="1">
      <c r="A51" s="4"/>
      <c r="B51" s="4"/>
      <c r="C51" s="4"/>
      <c r="D51" s="4"/>
      <c r="E51" s="4"/>
      <c r="F51" s="4"/>
    </row>
    <row r="52" ht="15.75" customHeight="1">
      <c r="A52" s="4"/>
      <c r="B52" s="4"/>
      <c r="C52" s="4"/>
      <c r="D52" s="4"/>
      <c r="E52" s="4"/>
      <c r="F52" s="4"/>
    </row>
    <row r="53" ht="15.75" customHeight="1">
      <c r="A53" s="4"/>
      <c r="B53" s="4"/>
      <c r="C53" s="4"/>
      <c r="D53" s="4"/>
      <c r="E53" s="4"/>
      <c r="F53" s="4"/>
    </row>
    <row r="54" ht="15.75" customHeight="1">
      <c r="A54" s="4"/>
      <c r="B54" s="4"/>
      <c r="C54" s="4"/>
      <c r="D54" s="4"/>
      <c r="E54" s="4"/>
      <c r="F54" s="4"/>
    </row>
    <row r="55" ht="15.75" customHeight="1">
      <c r="A55" s="4"/>
      <c r="B55" s="4"/>
      <c r="C55" s="4"/>
      <c r="D55" s="4"/>
      <c r="E55" s="4"/>
      <c r="F55" s="4"/>
    </row>
    <row r="56" ht="15.75" customHeight="1">
      <c r="A56" s="4"/>
      <c r="B56" s="4"/>
      <c r="C56" s="4"/>
      <c r="D56" s="4"/>
      <c r="E56" s="4"/>
      <c r="F56" s="4"/>
    </row>
    <row r="57" ht="15.75" customHeight="1">
      <c r="A57" s="4"/>
      <c r="B57" s="4"/>
      <c r="C57" s="4"/>
      <c r="D57" s="4"/>
      <c r="E57" s="4"/>
      <c r="F57" s="4"/>
    </row>
    <row r="58" ht="15.75" customHeight="1">
      <c r="A58" s="4"/>
      <c r="B58" s="4"/>
      <c r="C58" s="4"/>
      <c r="D58" s="4"/>
      <c r="E58" s="4"/>
      <c r="F58" s="4"/>
    </row>
    <row r="59" ht="15.75" customHeight="1">
      <c r="A59" s="4"/>
      <c r="B59" s="4"/>
      <c r="C59" s="4"/>
      <c r="D59" s="4"/>
      <c r="E59" s="4"/>
      <c r="F59" s="4"/>
    </row>
    <row r="60" ht="15.75" customHeight="1">
      <c r="A60" s="4"/>
      <c r="B60" s="4"/>
      <c r="C60" s="4"/>
      <c r="D60" s="4"/>
      <c r="E60" s="4"/>
      <c r="F60" s="4"/>
    </row>
    <row r="61" ht="15.75" customHeight="1">
      <c r="A61" s="4"/>
      <c r="B61" s="4"/>
      <c r="C61" s="4"/>
      <c r="D61" s="4"/>
      <c r="E61" s="4"/>
      <c r="F61" s="4"/>
    </row>
    <row r="62" ht="15.75" customHeight="1">
      <c r="A62" s="4"/>
      <c r="B62" s="4"/>
      <c r="C62" s="4"/>
      <c r="D62" s="4"/>
      <c r="E62" s="4"/>
      <c r="F62" s="4"/>
    </row>
    <row r="63" ht="15.75" customHeight="1">
      <c r="A63" s="4"/>
      <c r="B63" s="4"/>
      <c r="C63" s="4"/>
      <c r="D63" s="4"/>
      <c r="E63" s="4"/>
      <c r="F63" s="4"/>
    </row>
    <row r="64" ht="15.75" customHeight="1">
      <c r="A64" s="4"/>
      <c r="B64" s="4"/>
      <c r="C64" s="4"/>
      <c r="D64" s="4"/>
      <c r="E64" s="4"/>
      <c r="F64" s="4"/>
    </row>
    <row r="65" ht="15.75" customHeight="1">
      <c r="A65" s="4"/>
      <c r="B65" s="4"/>
      <c r="C65" s="4"/>
      <c r="D65" s="4"/>
      <c r="E65" s="4"/>
      <c r="F65" s="4"/>
    </row>
    <row r="66" ht="15.75" customHeight="1">
      <c r="A66" s="4"/>
      <c r="B66" s="4"/>
      <c r="C66" s="4"/>
      <c r="D66" s="4"/>
      <c r="E66" s="4"/>
      <c r="F66" s="4"/>
    </row>
    <row r="67" ht="15.75" customHeight="1">
      <c r="A67" s="4"/>
      <c r="B67" s="4"/>
      <c r="C67" s="4"/>
      <c r="D67" s="4"/>
      <c r="E67" s="4"/>
      <c r="F67" s="4"/>
    </row>
    <row r="68" ht="15.75" customHeight="1">
      <c r="A68" s="4"/>
      <c r="B68" s="4"/>
      <c r="C68" s="4"/>
      <c r="D68" s="4"/>
      <c r="E68" s="4"/>
      <c r="F68" s="4"/>
    </row>
    <row r="69" ht="15.75" customHeight="1">
      <c r="A69" s="4"/>
      <c r="B69" s="4"/>
      <c r="C69" s="4"/>
      <c r="D69" s="4"/>
      <c r="E69" s="4"/>
      <c r="F69" s="4"/>
    </row>
    <row r="70" ht="15.75" customHeight="1">
      <c r="A70" s="4"/>
      <c r="B70" s="4"/>
      <c r="C70" s="4"/>
      <c r="D70" s="4"/>
      <c r="E70" s="4"/>
      <c r="F70" s="4"/>
    </row>
    <row r="71" ht="15.75" customHeight="1">
      <c r="A71" s="4"/>
      <c r="B71" s="4"/>
      <c r="C71" s="4"/>
      <c r="D71" s="4"/>
      <c r="E71" s="4"/>
      <c r="F71" s="4"/>
    </row>
    <row r="72" ht="15.75" customHeight="1">
      <c r="A72" s="4"/>
      <c r="B72" s="4"/>
      <c r="C72" s="4"/>
      <c r="D72" s="4"/>
      <c r="E72" s="4"/>
      <c r="F72" s="4"/>
    </row>
    <row r="73" ht="15.75" customHeight="1">
      <c r="A73" s="4"/>
      <c r="B73" s="4"/>
      <c r="C73" s="4"/>
      <c r="D73" s="4"/>
      <c r="E73" s="4"/>
      <c r="F73" s="4"/>
    </row>
    <row r="74" ht="15.75" customHeight="1">
      <c r="A74" s="4"/>
      <c r="B74" s="4"/>
      <c r="C74" s="4"/>
      <c r="D74" s="4"/>
      <c r="E74" s="4"/>
      <c r="F74" s="4"/>
    </row>
    <row r="75" ht="15.75" customHeight="1">
      <c r="A75" s="4"/>
      <c r="B75" s="4"/>
      <c r="C75" s="4"/>
      <c r="D75" s="4"/>
      <c r="E75" s="4"/>
      <c r="F75" s="4"/>
    </row>
    <row r="76" ht="15.75" customHeight="1">
      <c r="A76" s="4"/>
      <c r="B76" s="4"/>
      <c r="C76" s="4"/>
      <c r="D76" s="4"/>
      <c r="E76" s="4"/>
      <c r="F76" s="4"/>
    </row>
    <row r="77" ht="15.75" customHeight="1">
      <c r="A77" s="4"/>
      <c r="B77" s="4"/>
      <c r="C77" s="4"/>
      <c r="D77" s="4"/>
      <c r="E77" s="4"/>
      <c r="F77" s="4"/>
    </row>
    <row r="78" ht="15.75" customHeight="1">
      <c r="A78" s="4"/>
      <c r="B78" s="4"/>
      <c r="C78" s="4"/>
      <c r="D78" s="4"/>
      <c r="E78" s="4"/>
      <c r="F78" s="4"/>
    </row>
    <row r="79" ht="15.75" customHeight="1">
      <c r="A79" s="4"/>
      <c r="B79" s="4"/>
      <c r="C79" s="4"/>
      <c r="D79" s="4"/>
      <c r="E79" s="4"/>
      <c r="F79" s="4"/>
    </row>
    <row r="80" ht="15.75" customHeight="1">
      <c r="A80" s="4"/>
      <c r="B80" s="4"/>
      <c r="C80" s="4"/>
      <c r="D80" s="4"/>
      <c r="E80" s="4"/>
      <c r="F80" s="4"/>
    </row>
    <row r="81" ht="15.75" customHeight="1">
      <c r="A81" s="4"/>
      <c r="B81" s="4"/>
      <c r="C81" s="4"/>
      <c r="D81" s="4"/>
      <c r="E81" s="4"/>
      <c r="F81" s="4"/>
    </row>
    <row r="82" ht="15.75" customHeight="1">
      <c r="A82" s="4"/>
      <c r="B82" s="4"/>
      <c r="C82" s="4"/>
      <c r="D82" s="4"/>
      <c r="E82" s="4"/>
      <c r="F82" s="4"/>
    </row>
    <row r="83" ht="15.75" customHeight="1">
      <c r="A83" s="4"/>
      <c r="B83" s="4"/>
      <c r="C83" s="4"/>
      <c r="D83" s="4"/>
      <c r="E83" s="4"/>
      <c r="F83" s="4"/>
    </row>
    <row r="84" ht="15.75" customHeight="1">
      <c r="A84" s="4"/>
      <c r="B84" s="4"/>
      <c r="C84" s="4"/>
      <c r="D84" s="4"/>
      <c r="E84" s="4"/>
      <c r="F84" s="4"/>
    </row>
    <row r="85" ht="15.75" customHeight="1">
      <c r="A85" s="4"/>
      <c r="B85" s="4"/>
      <c r="C85" s="4"/>
      <c r="D85" s="4"/>
      <c r="E85" s="4"/>
      <c r="F85" s="4"/>
    </row>
    <row r="86" ht="15.75" customHeight="1">
      <c r="A86" s="4"/>
      <c r="B86" s="4"/>
      <c r="C86" s="4"/>
      <c r="D86" s="4"/>
      <c r="E86" s="4"/>
      <c r="F86" s="4"/>
    </row>
    <row r="87" ht="15.75" customHeight="1">
      <c r="A87" s="4"/>
      <c r="B87" s="4"/>
      <c r="C87" s="4"/>
      <c r="D87" s="4"/>
      <c r="E87" s="4"/>
      <c r="F87" s="4"/>
    </row>
    <row r="88" ht="15.75" customHeight="1">
      <c r="A88" s="4"/>
      <c r="B88" s="4"/>
      <c r="C88" s="4"/>
      <c r="D88" s="4"/>
      <c r="E88" s="4"/>
      <c r="F88" s="4"/>
    </row>
    <row r="89" ht="15.75" customHeight="1">
      <c r="A89" s="4"/>
      <c r="B89" s="4"/>
      <c r="C89" s="4"/>
      <c r="D89" s="4"/>
      <c r="E89" s="4"/>
      <c r="F89" s="4"/>
    </row>
    <row r="90" ht="15.75" customHeight="1">
      <c r="A90" s="4"/>
      <c r="B90" s="4"/>
      <c r="C90" s="4"/>
      <c r="D90" s="4"/>
      <c r="E90" s="4"/>
      <c r="F90" s="4"/>
    </row>
    <row r="91" ht="15.75" customHeight="1">
      <c r="A91" s="4"/>
      <c r="B91" s="4"/>
      <c r="C91" s="4"/>
      <c r="D91" s="4"/>
      <c r="E91" s="4"/>
      <c r="F91" s="4"/>
    </row>
    <row r="92" ht="15.75" customHeight="1">
      <c r="A92" s="4"/>
      <c r="B92" s="4"/>
      <c r="C92" s="4"/>
      <c r="D92" s="4"/>
      <c r="E92" s="4"/>
      <c r="F92" s="4"/>
    </row>
    <row r="93" ht="15.75" customHeight="1">
      <c r="A93" s="4"/>
      <c r="B93" s="4"/>
      <c r="C93" s="4"/>
      <c r="D93" s="4"/>
      <c r="E93" s="4"/>
      <c r="F93" s="4"/>
    </row>
    <row r="94" ht="15.75" customHeight="1">
      <c r="A94" s="4"/>
      <c r="B94" s="4"/>
      <c r="C94" s="4"/>
      <c r="D94" s="4"/>
      <c r="E94" s="4"/>
      <c r="F94" s="4"/>
    </row>
    <row r="95" ht="15.75" customHeight="1">
      <c r="A95" s="4"/>
      <c r="B95" s="4"/>
      <c r="C95" s="4"/>
      <c r="D95" s="4"/>
      <c r="E95" s="4"/>
      <c r="F95" s="4"/>
    </row>
    <row r="96" ht="15.75" customHeight="1">
      <c r="A96" s="4"/>
      <c r="B96" s="4"/>
      <c r="C96" s="4"/>
      <c r="D96" s="4"/>
      <c r="E96" s="4"/>
      <c r="F96" s="4"/>
    </row>
    <row r="97" ht="15.75" customHeight="1">
      <c r="A97" s="4"/>
      <c r="B97" s="4"/>
      <c r="C97" s="4"/>
      <c r="D97" s="4"/>
      <c r="E97" s="4"/>
      <c r="F97" s="4"/>
    </row>
    <row r="98" ht="15.75" customHeight="1">
      <c r="A98" s="4"/>
      <c r="B98" s="4"/>
      <c r="C98" s="4"/>
      <c r="D98" s="4"/>
      <c r="E98" s="4"/>
      <c r="F98" s="4"/>
    </row>
    <row r="99" ht="15.75" customHeight="1">
      <c r="A99" s="4"/>
      <c r="B99" s="4"/>
      <c r="C99" s="4"/>
      <c r="D99" s="4"/>
      <c r="E99" s="4"/>
      <c r="F99" s="4"/>
    </row>
    <row r="100" ht="15.75" customHeight="1">
      <c r="A100" s="4"/>
      <c r="B100" s="4"/>
      <c r="C100" s="4"/>
      <c r="D100" s="4"/>
      <c r="E100" s="4"/>
      <c r="F100" s="4"/>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2026-09-16T20:00:24Z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9b96aae7c9524b28a32a8c5483c8066c</vt:lpwstr>
  </property>
</Properties>
</file>